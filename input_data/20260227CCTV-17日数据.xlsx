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598" activeTab="5"/>
  </bookViews>
  <sheets>
    <sheet name="市场份额" sheetId="14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相对吸引力" sheetId="15" r:id="rId7"/>
    <sheet name="日报-分时段收视率" sheetId="7" state="hidden" r:id="rId8"/>
    <sheet name="日报-三大剧场" sheetId="8" state="hidden" r:id="rId9"/>
    <sheet name="日报-电视剧观众规模" sheetId="9" state="hidden" r:id="rId10"/>
    <sheet name="日报-首播节目对比" sheetId="10" state="hidden" r:id="rId11"/>
    <sheet name="日报-首播节目分类观众触达" sheetId="11" state="hidden" r:id="rId12"/>
    <sheet name="日报-频道分类观众规模" sheetId="12" state="hidden" r:id="rId13"/>
  </sheets>
  <definedNames>
    <definedName name="_xlnm._FilterDatabase" localSheetId="5" hidden="1">串单!$A$1:$M$109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<sst xmlns="http://schemas.openxmlformats.org/spreadsheetml/2006/main" count="2679" uniqueCount="2098">
  <si>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</si>
  <si>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</si>
  <si>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</si>
  <si>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</si>
  <si>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</si>
  <si>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</si>
  <si>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</si>
  <si>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</si>
  <si>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</si>
  <si>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</si>
  <si>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</si>
  <si>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</si>
  <si>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</si>
  <si>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</si>
  <si>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</si>
  <si>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</si>
  <si>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</si>
  <si>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</si>
  <si>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</si>
  <si>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</si>
  <si>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</si>
  <si>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</si>
  <si>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</si>
  <si>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</si>
  <si>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2026/01/28~2026/02/26</t>
  </si>
  <si>
    <t>所有频道</t>
  </si>
  <si>
    <t>日期 &gt;&gt;</t>
  </si>
  <si>
    <t>2026/02/26</t>
  </si>
  <si>
    <t>类别</t>
  </si>
  <si>
    <t>电视剧</t>
  </si>
  <si>
    <t>非电视剧</t>
  </si>
  <si>
    <t>-</t>
  </si>
  <si>
    <t>单位 &gt;&gt;</t>
  </si>
  <si>
    <t>2026/2/26</t>
  </si>
  <si>
    <t>2026/2/27</t>
  </si>
  <si>
    <t>变化</t>
  </si>
  <si>
    <t>CCTV-1综合</t>
  </si>
  <si>
    <t>7.341</t>
  </si>
  <si>
    <t>7.047</t>
  </si>
  <si>
    <t>-0.294</t>
  </si>
  <si>
    <t>CCTV-6电影</t>
  </si>
  <si>
    <t>4.676</t>
  </si>
  <si>
    <t>5.612</t>
  </si>
  <si>
    <t>0.936</t>
  </si>
  <si>
    <t>CCTV-8电视剧</t>
  </si>
  <si>
    <t>3.774</t>
  </si>
  <si>
    <t>3.679</t>
  </si>
  <si>
    <t>-0.095</t>
  </si>
  <si>
    <t>CCTV-4中文国际</t>
  </si>
  <si>
    <t>2.867</t>
  </si>
  <si>
    <t>2.958</t>
  </si>
  <si>
    <t>0.091</t>
  </si>
  <si>
    <t>CCTV-3综艺</t>
  </si>
  <si>
    <t>2.506</t>
  </si>
  <si>
    <t>2.605</t>
  </si>
  <si>
    <t>0.099</t>
  </si>
  <si>
    <t>江苏卫视</t>
  </si>
  <si>
    <t>1.911</t>
  </si>
  <si>
    <t>2.46</t>
  </si>
  <si>
    <t>0.549</t>
  </si>
  <si>
    <t>浙江卫视</t>
  </si>
  <si>
    <t>1.356</t>
  </si>
  <si>
    <t>2.325</t>
  </si>
  <si>
    <t>0.969</t>
  </si>
  <si>
    <t>CCTV-5体育</t>
  </si>
  <si>
    <t>2.491</t>
  </si>
  <si>
    <t>2.231</t>
  </si>
  <si>
    <t>-0.26</t>
  </si>
  <si>
    <t>CCTV-13新闻</t>
  </si>
  <si>
    <t>2.422</t>
  </si>
  <si>
    <t>2.22</t>
  </si>
  <si>
    <t>-0.202</t>
  </si>
  <si>
    <t>湖南卫视</t>
  </si>
  <si>
    <t>2.561</t>
  </si>
  <si>
    <t>1.947</t>
  </si>
  <si>
    <t>-0.614</t>
  </si>
  <si>
    <t>上海东方卫视</t>
  </si>
  <si>
    <t>1.572</t>
  </si>
  <si>
    <t>1.348</t>
  </si>
  <si>
    <t>-0.224</t>
  </si>
  <si>
    <t>CCTV-5+体育赛事</t>
  </si>
  <si>
    <t>1.347</t>
  </si>
  <si>
    <t>1.338</t>
  </si>
  <si>
    <t>-0.009</t>
  </si>
  <si>
    <t>湖南电视台金鹰卡通频道</t>
  </si>
  <si>
    <t>1.124</t>
  </si>
  <si>
    <t>1.15</t>
  </si>
  <si>
    <t>0.026</t>
  </si>
  <si>
    <t>北京卫视</t>
  </si>
  <si>
    <t>1.375</t>
  </si>
  <si>
    <t>1.141</t>
  </si>
  <si>
    <t>-0.234</t>
  </si>
  <si>
    <t>CCTV-2财经</t>
  </si>
  <si>
    <t>0.962</t>
  </si>
  <si>
    <t>0.959</t>
  </si>
  <si>
    <t>-0.003</t>
  </si>
  <si>
    <t>卡酷少儿频道</t>
  </si>
  <si>
    <t>1.107</t>
  </si>
  <si>
    <t>0.927</t>
  </si>
  <si>
    <t>-0.18</t>
  </si>
  <si>
    <t>CCTV-9纪录</t>
  </si>
  <si>
    <t>0.772</t>
  </si>
  <si>
    <t>0.829</t>
  </si>
  <si>
    <t>0.057</t>
  </si>
  <si>
    <t>深圳卫视</t>
  </si>
  <si>
    <t>0.64</t>
  </si>
  <si>
    <t>0.773</t>
  </si>
  <si>
    <t>0.133</t>
  </si>
  <si>
    <t>安徽卫视</t>
  </si>
  <si>
    <t>0.779</t>
  </si>
  <si>
    <t>-0.006</t>
  </si>
  <si>
    <t>CCTV-7国防军事</t>
  </si>
  <si>
    <t>0.794</t>
  </si>
  <si>
    <t>0.762</t>
  </si>
  <si>
    <t>-0.032</t>
  </si>
  <si>
    <t>广东卫视</t>
  </si>
  <si>
    <t>1.078</t>
  </si>
  <si>
    <t>0.685</t>
  </si>
  <si>
    <t>-0.393</t>
  </si>
  <si>
    <t>CCTV-14少儿</t>
  </si>
  <si>
    <t>0.644</t>
  </si>
  <si>
    <t>0.664</t>
  </si>
  <si>
    <t>0.02</t>
  </si>
  <si>
    <t>CCTV-17农业农村</t>
  </si>
  <si>
    <t>0.732</t>
  </si>
  <si>
    <t>0.653</t>
  </si>
  <si>
    <t>-0.079</t>
  </si>
  <si>
    <t>江西卫视</t>
  </si>
  <si>
    <t>0.826</t>
  </si>
  <si>
    <t>0.599</t>
  </si>
  <si>
    <t>-0.227</t>
  </si>
  <si>
    <t>山东卫视</t>
  </si>
  <si>
    <t>0.799</t>
  </si>
  <si>
    <t>0.593</t>
  </si>
  <si>
    <t>-0.206</t>
  </si>
  <si>
    <t>广东广播电视台嘉佳卡通频道</t>
  </si>
  <si>
    <t>0.515</t>
  </si>
  <si>
    <t>0.551</t>
  </si>
  <si>
    <t>0.036</t>
  </si>
  <si>
    <t>河南卫视</t>
  </si>
  <si>
    <t>0.519</t>
  </si>
  <si>
    <t>0.54</t>
  </si>
  <si>
    <t>0.021</t>
  </si>
  <si>
    <t>CCTV-12社会与法</t>
  </si>
  <si>
    <t>0.507</t>
  </si>
  <si>
    <t>0.524</t>
  </si>
  <si>
    <t>0.017</t>
  </si>
  <si>
    <t>辽宁卫视</t>
  </si>
  <si>
    <t>0.421</t>
  </si>
  <si>
    <t>0.094</t>
  </si>
  <si>
    <t>天津卫视</t>
  </si>
  <si>
    <t>0.432</t>
  </si>
  <si>
    <t>0.075</t>
  </si>
  <si>
    <t>CCTV-10科教</t>
  </si>
  <si>
    <t>0.511</t>
  </si>
  <si>
    <t>0.476</t>
  </si>
  <si>
    <t>-0.035</t>
  </si>
  <si>
    <t>CCTV-15音乐</t>
  </si>
  <si>
    <t>0.484</t>
  </si>
  <si>
    <t>0.448</t>
  </si>
  <si>
    <t>-0.036</t>
  </si>
  <si>
    <t>CCTV-11戏曲</t>
  </si>
  <si>
    <t>0.616</t>
  </si>
  <si>
    <t>0.443</t>
  </si>
  <si>
    <t>-0.173</t>
  </si>
  <si>
    <t>黑龙江卫视</t>
  </si>
  <si>
    <t>0.384</t>
  </si>
  <si>
    <t>0.415</t>
  </si>
  <si>
    <t>0.031</t>
  </si>
  <si>
    <t>广西卫视</t>
  </si>
  <si>
    <t>0.449</t>
  </si>
  <si>
    <t>0.357</t>
  </si>
  <si>
    <t>-0.092</t>
  </si>
  <si>
    <t>四川卫视</t>
  </si>
  <si>
    <t>0.382</t>
  </si>
  <si>
    <t>0.349</t>
  </si>
  <si>
    <t>-0.033</t>
  </si>
  <si>
    <t>贵州卫视</t>
  </si>
  <si>
    <t>0.374</t>
  </si>
  <si>
    <t>0.295</t>
  </si>
  <si>
    <t>山西卫视</t>
  </si>
  <si>
    <t>0.277</t>
  </si>
  <si>
    <t>0.264</t>
  </si>
  <si>
    <t>-0.013</t>
  </si>
  <si>
    <t>东南卫视</t>
  </si>
  <si>
    <t>0.289</t>
  </si>
  <si>
    <t>-0.025</t>
  </si>
  <si>
    <t>湖北卫视</t>
  </si>
  <si>
    <t>0.319</t>
  </si>
  <si>
    <t>0.262</t>
  </si>
  <si>
    <t>-0.057</t>
  </si>
  <si>
    <t>陕西卫视</t>
  </si>
  <si>
    <t>0.269</t>
  </si>
  <si>
    <t>0.26</t>
  </si>
  <si>
    <t>吉林卫视</t>
  </si>
  <si>
    <t>0.321</t>
  </si>
  <si>
    <t>0.256</t>
  </si>
  <si>
    <t>-0.065</t>
  </si>
  <si>
    <t>河北广播电视台卫视频道</t>
  </si>
  <si>
    <t>0.371</t>
  </si>
  <si>
    <t>0.23</t>
  </si>
  <si>
    <t>-0.141</t>
  </si>
  <si>
    <t>内蒙古广播电视台内蒙古卫视频道</t>
  </si>
  <si>
    <t>0.339</t>
  </si>
  <si>
    <t>0.222</t>
  </si>
  <si>
    <t>-0.117</t>
  </si>
  <si>
    <t>重庆卫视</t>
  </si>
  <si>
    <t>0.206</t>
  </si>
  <si>
    <t>0</t>
  </si>
  <si>
    <t>云南广播电视台卫视频道(一套)</t>
  </si>
  <si>
    <t>0.137</t>
  </si>
  <si>
    <t>0.203</t>
  </si>
  <si>
    <t>0.066</t>
  </si>
  <si>
    <t>厦门卫视</t>
  </si>
  <si>
    <t>0.052</t>
  </si>
  <si>
    <t>0.182</t>
  </si>
  <si>
    <t>0.13</t>
  </si>
  <si>
    <t>宁夏卫视</t>
  </si>
  <si>
    <t>0.17</t>
  </si>
  <si>
    <t>0.181</t>
  </si>
  <si>
    <t>0.011</t>
  </si>
  <si>
    <t>青海卫视</t>
  </si>
  <si>
    <t>0.158</t>
  </si>
  <si>
    <t>0.159</t>
  </si>
  <si>
    <t>0.001</t>
  </si>
  <si>
    <t>优漫卡通卫视</t>
  </si>
  <si>
    <t>0.118</t>
  </si>
  <si>
    <t>0.146</t>
  </si>
  <si>
    <t>0.028</t>
  </si>
  <si>
    <t>西藏二套(汉语卫视)</t>
  </si>
  <si>
    <t>0.09</t>
  </si>
  <si>
    <t>0.043</t>
  </si>
  <si>
    <t>甘肃卫视</t>
  </si>
  <si>
    <t>0.101</t>
  </si>
  <si>
    <t>0.132</t>
  </si>
  <si>
    <t>CCTV-16奥林匹克</t>
  </si>
  <si>
    <t>0.086</t>
  </si>
  <si>
    <t>0.124</t>
  </si>
  <si>
    <t>0.038</t>
  </si>
  <si>
    <t>新疆卫视</t>
  </si>
  <si>
    <t>0.123</t>
  </si>
  <si>
    <t>-0.014</t>
  </si>
  <si>
    <t>兵团卫视</t>
  </si>
  <si>
    <t>0.109</t>
  </si>
  <si>
    <t>0.121</t>
  </si>
  <si>
    <t>0.012</t>
  </si>
  <si>
    <t>凤凰卫视中文台</t>
  </si>
  <si>
    <t>0.119</t>
  </si>
  <si>
    <t>-0.039</t>
  </si>
  <si>
    <t>海南卫视</t>
  </si>
  <si>
    <t>0.294</t>
  </si>
  <si>
    <t>-0.195</t>
  </si>
  <si>
    <t>新疆电视台二套(维语新闻综合频道)</t>
  </si>
  <si>
    <t>0.08</t>
  </si>
  <si>
    <t>0.014</t>
  </si>
  <si>
    <t>山东教育卫视</t>
  </si>
  <si>
    <t>0.024</t>
  </si>
  <si>
    <t>西藏一套(藏语卫视)</t>
  </si>
  <si>
    <t>0.037</t>
  </si>
  <si>
    <t>0.078</t>
  </si>
  <si>
    <t>0.041</t>
  </si>
  <si>
    <t>中国教育台一套</t>
  </si>
  <si>
    <t>0.115</t>
  </si>
  <si>
    <t>0.062</t>
  </si>
  <si>
    <t>-0.053</t>
  </si>
  <si>
    <t>湖南电视台金鹰纪实频道</t>
  </si>
  <si>
    <t>0.045</t>
  </si>
  <si>
    <t>0.054</t>
  </si>
  <si>
    <t>0.009</t>
  </si>
  <si>
    <t>凤凰卫视资讯台</t>
  </si>
  <si>
    <t>0.058</t>
  </si>
  <si>
    <t>CCTV-4K超高清</t>
  </si>
  <si>
    <t>0.049</t>
  </si>
  <si>
    <t>-0.004</t>
  </si>
  <si>
    <t>安多卫视</t>
  </si>
  <si>
    <t>0.023</t>
  </si>
  <si>
    <t>0.042</t>
  </si>
  <si>
    <t>0.019</t>
  </si>
  <si>
    <t>CCTV风云足球</t>
  </si>
  <si>
    <t>0.002</t>
  </si>
  <si>
    <t>0.04</t>
  </si>
  <si>
    <t>北京广播电视台纪实科教频道</t>
  </si>
  <si>
    <t>0.087</t>
  </si>
  <si>
    <t>-0.047</t>
  </si>
  <si>
    <t>CGTN</t>
  </si>
  <si>
    <t>0.039</t>
  </si>
  <si>
    <t>0.013</t>
  </si>
  <si>
    <t>内蒙古广播电视台蒙古语卫视频道</t>
  </si>
  <si>
    <t>0.015</t>
  </si>
  <si>
    <t>0.035</t>
  </si>
  <si>
    <t>上海电视台哈哈炫动卫视</t>
  </si>
  <si>
    <t>0.018</t>
  </si>
  <si>
    <t>0.004</t>
  </si>
  <si>
    <t>福建海峡电视台</t>
  </si>
  <si>
    <t>0.029</t>
  </si>
  <si>
    <t>-0.015</t>
  </si>
  <si>
    <t>新疆电视台三套(哈语新闻综合频道)</t>
  </si>
  <si>
    <t>-0.007</t>
  </si>
  <si>
    <t>星空卫视</t>
  </si>
  <si>
    <t>0.005</t>
  </si>
  <si>
    <t>0.003</t>
  </si>
  <si>
    <t>-0.002</t>
  </si>
  <si>
    <t>MTV</t>
  </si>
  <si>
    <t>上海电视台纪实人文频道</t>
  </si>
  <si>
    <t>香港卫视合家欢台</t>
  </si>
  <si>
    <t>农林卫视</t>
  </si>
  <si>
    <t>星空体育</t>
  </si>
  <si>
    <t>广东广播电视台大湾区卫视(上星版)</t>
  </si>
  <si>
    <t>华娱卫视</t>
  </si>
  <si>
    <t>阳光卫视</t>
  </si>
  <si>
    <t>香港卫视国际电影台</t>
  </si>
  <si>
    <t>香港卫视音乐台</t>
  </si>
  <si>
    <t>中国教育台二套</t>
  </si>
  <si>
    <t>香港有线卫视新知台</t>
  </si>
  <si>
    <t>凤凰卫视电影台</t>
  </si>
  <si>
    <t>中央级（20个）</t>
  </si>
  <si>
    <t>TTV收视率%</t>
  </si>
  <si>
    <t>2026/02/27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</si>
  <si>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</si>
  <si>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</si>
  <si>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</si>
  <si>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</si>
  <si>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</si>
  <si>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</si>
  <si>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</si>
  <si>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</si>
  <si>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</si>
  <si>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</si>
  <si>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</si>
  <si>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</si>
  <si>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</si>
  <si>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</si>
  <si>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</si>
  <si>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</si>
  <si>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</si>
  <si>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</si>
  <si>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</si>
  <si>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</si>
  <si>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</si>
  <si>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</si>
  <si>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</si>
  <si>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</si>
  <si>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</si>
  <si>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</si>
  <si>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</si>
  <si>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</si>
  <si>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</si>
  <si>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</si>
  <si>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</si>
  <si>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</si>
  <si>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</si>
  <si>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</si>
  <si>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</si>
  <si>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</si>
  <si>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</si>
  <si>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</si>
  <si>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</si>
  <si>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</si>
  <si>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</si>
  <si>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</si>
  <si>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</si>
  <si>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</si>
  <si>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</si>
  <si>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</si>
  <si>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</si>
  <si>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</si>
  <si>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</si>
  <si>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</si>
  <si>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</si>
  <si>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</si>
  <si>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</si>
  <si>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</si>
  <si>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</si>
  <si>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</si>
  <si>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</si>
  <si>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</si>
  <si>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</si>
  <si>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</si>
  <si>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</si>
  <si>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</si>
  <si>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</si>
  <si>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</si>
  <si>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</si>
  <si>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</si>
  <si>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</si>
  <si>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</si>
  <si>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</si>
  <si>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</si>
  <si>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</si>
  <si>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</si>
  <si>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</si>
  <si>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</si>
  <si>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</si>
  <si>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</si>
  <si>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</si>
  <si>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</si>
  <si>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</si>
  <si>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</si>
  <si>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</si>
  <si>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</si>
  <si>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</si>
  <si>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</si>
  <si>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</si>
  <si>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</si>
  <si>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</si>
  <si>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</si>
  <si>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</si>
  <si>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</si>
  <si>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</si>
  <si>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</si>
  <si>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</si>
  <si>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</si>
  <si>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</si>
  <si>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</si>
  <si>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</si>
  <si>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</si>
  <si>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</si>
  <si>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</si>
  <si>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</si>
  <si>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</si>
  <si>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</si>
  <si>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</si>
  <si>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</si>
  <si>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</si>
  <si>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</si>
  <si>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</si>
  <si>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</si>
  <si>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</si>
  <si>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</si>
  <si>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</si>
  <si>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</si>
  <si>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</si>
  <si>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</si>
  <si>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</si>
  <si>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</si>
  <si>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</si>
  <si>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</si>
  <si>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</si>
  <si>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</si>
  <si>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</si>
  <si>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</si>
  <si>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</si>
  <si>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</si>
  <si>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</si>
  <si>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</si>
  <si>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</si>
  <si>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</si>
  <si>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</si>
  <si>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</si>
  <si>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</si>
  <si>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</si>
  <si>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</si>
  <si>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</si>
  <si>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</si>
  <si>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</si>
  <si>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</si>
  <si>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</si>
  <si>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</si>
  <si>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</si>
  <si>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</si>
  <si>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</si>
  <si>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</si>
  <si>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</si>
  <si>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</si>
  <si>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</si>
  <si>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</si>
  <si>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</si>
  <si>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</si>
  <si>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</si>
  <si>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</si>
  <si>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</si>
  <si>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</si>
  <si>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</si>
  <si>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</si>
  <si>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</si>
  <si>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</si>
  <si>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</si>
  <si>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</si>
  <si>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</si>
  <si>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</si>
  <si>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</si>
  <si>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</si>
  <si>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</si>
  <si>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</si>
  <si>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</si>
  <si>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</si>
  <si>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</si>
  <si>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</si>
  <si>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</si>
  <si>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</si>
  <si>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</si>
  <si>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</si>
  <si>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</si>
  <si>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</si>
  <si>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</si>
  <si>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</si>
  <si>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</si>
  <si>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</si>
  <si>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</si>
  <si>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</si>
  <si>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</si>
  <si>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</si>
  <si>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</si>
  <si>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</si>
  <si>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</si>
  <si>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</si>
  <si>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</si>
  <si>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</si>
  <si>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</si>
  <si>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</si>
  <si>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</si>
  <si>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</si>
  <si>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</si>
  <si>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</si>
  <si>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</si>
  <si>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</si>
  <si>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</si>
  <si>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</si>
  <si>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</si>
  <si>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</si>
  <si>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</si>
  <si>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</si>
  <si>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</si>
  <si>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</si>
  <si>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</si>
  <si>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</si>
  <si>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</si>
  <si>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</si>
  <si>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</si>
  <si>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</si>
  <si>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</si>
  <si>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</si>
  <si>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</si>
  <si>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</si>
  <si>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</si>
  <si>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</si>
  <si>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</si>
  <si>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</si>
  <si>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</si>
  <si>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</si>
  <si>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</si>
  <si>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</si>
  <si>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</si>
  <si>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</si>
  <si>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</si>
  <si>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</si>
  <si>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</si>
  <si>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</si>
  <si>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</si>
  <si>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</si>
  <si>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</si>
  <si>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</si>
  <si>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</si>
  <si>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</si>
  <si>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</si>
  <si>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</si>
  <si>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</si>
  <si>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</si>
  <si>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</si>
  <si>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</si>
  <si>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</si>
  <si>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</si>
  <si>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</si>
  <si>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</si>
  <si>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</si>
  <si>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</si>
  <si>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</si>
  <si>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</si>
  <si>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</si>
  <si>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</si>
  <si>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</si>
  <si>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</si>
  <si>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</si>
  <si>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</si>
  <si>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</si>
  <si>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</si>
  <si>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</si>
  <si>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</si>
  <si>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</si>
  <si>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</si>
  <si>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</si>
  <si>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</si>
  <si>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</si>
  <si>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</si>
  <si>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</si>
  <si>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</si>
  <si>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</si>
  <si>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</si>
  <si>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</si>
  <si>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</si>
  <si>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</si>
  <si>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</si>
  <si>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</si>
  <si>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</si>
  <si>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</si>
  <si>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</si>
  <si>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</si>
  <si>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</si>
  <si>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</si>
  <si>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</si>
  <si>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</si>
  <si>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</si>
  <si>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</si>
  <si>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</si>
  <si>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</si>
  <si>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</si>
  <si>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</si>
  <si>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</si>
  <si>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</si>
  <si>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</si>
  <si>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</si>
  <si>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</si>
  <si>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</si>
  <si>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</si>
  <si>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</si>
  <si>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</si>
  <si>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</si>
  <si>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</si>
  <si>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</si>
  <si>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</si>
  <si>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</si>
  <si>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</si>
  <si>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</si>
  <si>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</si>
  <si>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</si>
  <si>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</si>
  <si>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</si>
  <si>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</si>
  <si>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</si>
  <si>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</si>
  <si>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</si>
  <si>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</si>
  <si>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</si>
  <si>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</si>
  <si>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</si>
  <si>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</si>
  <si>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</si>
  <si>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</si>
  <si>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</si>
  <si>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</si>
  <si>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</si>
  <si>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</si>
  <si>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</si>
  <si>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</si>
  <si>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</si>
  <si>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</si>
  <si>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</si>
  <si>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</si>
  <si>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</si>
  <si>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</si>
  <si>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</si>
  <si>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</si>
  <si>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</si>
  <si>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</si>
  <si>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</si>
  <si>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</si>
  <si>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</si>
  <si>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</si>
  <si>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</si>
  <si>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</si>
  <si>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</si>
  <si>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</si>
  <si>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</si>
  <si>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</si>
  <si>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</si>
  <si>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</si>
  <si>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</si>
  <si>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</si>
  <si>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</si>
  <si>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</si>
  <si>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</si>
  <si>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</si>
  <si>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</si>
  <si>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</si>
  <si>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</si>
  <si>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</si>
  <si>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</si>
  <si>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</si>
  <si>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</si>
  <si>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</si>
  <si>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</si>
  <si>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</si>
  <si>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</si>
  <si>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</si>
  <si>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</si>
  <si>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</si>
  <si>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</si>
  <si>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</si>
  <si>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</si>
  <si>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</si>
  <si>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</si>
  <si>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</si>
  <si>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</si>
  <si>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</si>
  <si>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</si>
  <si>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</si>
  <si>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</si>
  <si>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</si>
  <si>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</si>
  <si>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</si>
  <si>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</si>
  <si>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</si>
  <si>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</si>
  <si>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</si>
  <si>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</si>
  <si>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</si>
  <si>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</si>
  <si>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</si>
  <si>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</si>
  <si>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</si>
  <si>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</si>
  <si>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</si>
  <si>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</si>
  <si>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</si>
  <si>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</si>
  <si>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</si>
  <si>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</si>
  <si>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</si>
  <si>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</si>
  <si>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</si>
  <si>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</si>
  <si>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</si>
  <si>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</si>
  <si>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</si>
  <si>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</si>
  <si>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</si>
  <si>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</si>
  <si>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</si>
  <si>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</si>
  <si>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</si>
  <si>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</si>
  <si>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</si>
  <si>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</si>
  <si>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</si>
  <si>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</si>
  <si>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</si>
  <si>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</si>
  <si>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</si>
  <si>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</si>
  <si>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</si>
  <si>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</si>
  <si>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</si>
  <si>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</si>
  <si>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</si>
  <si>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</si>
  <si>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</si>
  <si>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</si>
  <si>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</si>
  <si>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</si>
  <si>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</si>
  <si>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</si>
  <si>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</si>
  <si>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</si>
  <si>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</si>
  <si>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</si>
  <si>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</si>
  <si>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</si>
  <si>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</si>
  <si>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</si>
  <si>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</si>
  <si>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</si>
  <si>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</si>
  <si>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</si>
  <si>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</si>
  <si>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</si>
  <si>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</si>
  <si>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</si>
  <si>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</si>
  <si>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</si>
  <si>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</si>
  <si>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</si>
  <si>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</si>
  <si>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</si>
  <si>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</si>
  <si>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</si>
  <si>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</si>
  <si>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</si>
  <si>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</si>
  <si>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</si>
  <si>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</si>
  <si>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</si>
  <si>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</si>
  <si>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</si>
  <si>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</si>
  <si>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</si>
  <si>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</si>
  <si>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</si>
  <si>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</si>
  <si>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</si>
  <si>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</si>
  <si>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</si>
  <si>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</si>
  <si>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</si>
  <si>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</si>
  <si>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</si>
  <si>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</si>
  <si>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</si>
  <si>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</si>
  <si>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</si>
  <si>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</si>
  <si>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</si>
  <si>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</si>
  <si>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</si>
  <si>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</si>
  <si>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</si>
  <si>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</si>
  <si>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</si>
  <si>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</si>
  <si>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</si>
  <si>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</si>
  <si>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</si>
  <si>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</si>
  <si>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</si>
  <si>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</si>
  <si>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</si>
  <si>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</si>
  <si>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</si>
  <si>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</si>
  <si>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</si>
  <si>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</si>
  <si>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</si>
  <si>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</si>
  <si>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</si>
  <si>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</si>
  <si>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</si>
  <si>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</si>
  <si>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</si>
  <si>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</si>
  <si>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</si>
  <si>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</si>
  <si>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</si>
  <si>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</si>
  <si>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</si>
  <si>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</si>
  <si>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</si>
  <si>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</si>
  <si>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</si>
  <si>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</si>
  <si>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</si>
  <si>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</si>
  <si>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</si>
  <si>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</si>
  <si>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</si>
  <si>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</si>
  <si>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</si>
  <si>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</si>
  <si>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</si>
  <si>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</si>
  <si>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</si>
  <si>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</si>
  <si>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</si>
  <si>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</si>
  <si>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</si>
  <si>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</si>
  <si>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</si>
  <si>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</si>
  <si>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</si>
  <si>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</si>
  <si>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</si>
  <si>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</si>
  <si>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</si>
  <si>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</si>
  <si>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</si>
  <si>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</si>
  <si>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</si>
  <si>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</si>
  <si>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</si>
  <si>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</si>
  <si>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</si>
  <si>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</si>
  <si>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</si>
  <si>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</si>
  <si>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</si>
  <si>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</si>
  <si>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</si>
  <si>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</si>
  <si>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</si>
  <si>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</si>
  <si>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</si>
  <si>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</si>
  <si>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</si>
  <si>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</si>
  <si>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</si>
  <si>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</si>
  <si>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</si>
  <si>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</si>
  <si>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</si>
  <si>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</si>
  <si>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</si>
  <si>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</si>
  <si>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</si>
  <si>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</si>
  <si>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</si>
  <si>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</si>
  <si>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</si>
  <si>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</si>
  <si>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</si>
  <si>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</si>
  <si>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</si>
  <si>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</si>
  <si>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</si>
  <si>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</si>
  <si>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</si>
  <si>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</si>
  <si>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</si>
  <si>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</si>
  <si>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</si>
  <si>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</si>
  <si>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</si>
  <si>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</si>
  <si>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</si>
  <si>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</si>
  <si>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</si>
  <si>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</si>
  <si>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</si>
  <si>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</si>
  <si>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</si>
  <si>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</si>
  <si>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</si>
  <si>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</si>
  <si>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</si>
  <si>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</si>
  <si>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</si>
  <si>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</si>
  <si>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</si>
  <si>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</si>
  <si>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</si>
  <si>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</si>
  <si>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</si>
  <si>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</si>
  <si>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</si>
  <si>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</si>
  <si>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</si>
  <si>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</si>
  <si>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</si>
  <si>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</si>
  <si>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</si>
  <si>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</si>
  <si>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</si>
  <si>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</si>
  <si>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</si>
  <si>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</si>
  <si>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</si>
  <si>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</si>
  <si>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</si>
  <si>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</si>
  <si>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</si>
  <si>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</si>
  <si>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</si>
  <si>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</si>
  <si>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</si>
  <si>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</si>
  <si>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</si>
  <si>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</si>
  <si>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</si>
  <si>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</si>
  <si>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</si>
  <si>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</si>
  <si>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</si>
  <si>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</si>
  <si>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</si>
  <si>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</si>
  <si>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</si>
  <si>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</si>
  <si>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</si>
  <si>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</si>
  <si>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</si>
  <si>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</si>
  <si>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</si>
  <si>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</si>
  <si>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</si>
  <si>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</si>
  <si>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</si>
  <si>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</si>
  <si>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</si>
  <si>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</si>
  <si>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</si>
  <si>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</si>
  <si>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</si>
  <si>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</si>
  <si>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</si>
  <si>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</si>
  <si>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</si>
  <si>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</si>
  <si>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</si>
  <si>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</si>
  <si>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</si>
  <si>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</si>
  <si>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</si>
  <si>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</si>
  <si>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</si>
  <si>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</si>
  <si>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</si>
  <si>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</si>
  <si>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</si>
  <si>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</si>
  <si>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</si>
  <si>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</si>
  <si>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</si>
  <si>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</si>
  <si>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</si>
  <si>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</si>
  <si>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</si>
  <si>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</si>
  <si>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</si>
  <si>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</si>
  <si>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</si>
  <si>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</si>
  <si>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</si>
  <si>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</si>
  <si>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</si>
  <si>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</si>
  <si>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</si>
  <si>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</si>
  <si>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</si>
  <si>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</si>
  <si>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</si>
  <si>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</si>
  <si>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</si>
  <si>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</si>
  <si>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</si>
  <si>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</si>
  <si>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</si>
  <si>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</si>
  <si>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</si>
  <si>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</si>
  <si>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</si>
  <si>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</si>
  <si>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</si>
  <si>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</si>
  <si>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</si>
  <si>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</si>
  <si>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</si>
  <si>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</si>
  <si>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</si>
  <si>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</si>
  <si>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</si>
  <si>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</si>
  <si>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</si>
  <si>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</si>
  <si>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</si>
  <si>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</si>
  <si>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</si>
  <si>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</si>
  <si>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</si>
  <si>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</si>
  <si>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</si>
  <si>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</si>
  <si>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</si>
  <si>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</si>
  <si>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</si>
  <si>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</si>
  <si>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</si>
  <si>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</si>
  <si>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</si>
  <si>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</si>
  <si>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</si>
  <si>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</si>
  <si>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</si>
  <si>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</si>
  <si>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</si>
  <si>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</si>
  <si>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</si>
  <si>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</si>
  <si>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</si>
  <si>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</si>
  <si>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</si>
  <si>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</si>
  <si>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</si>
  <si>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</si>
  <si>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</si>
  <si>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</si>
  <si>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</si>
  <si>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</si>
  <si>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</si>
  <si>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</si>
  <si>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</si>
  <si>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</si>
  <si>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</si>
  <si>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</si>
  <si>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</si>
  <si>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</si>
  <si>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</si>
  <si>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</si>
  <si>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</si>
  <si>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</si>
  <si>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</si>
  <si>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</si>
  <si>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</si>
  <si>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</si>
  <si>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</si>
  <si>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</si>
  <si>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</si>
  <si>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</si>
  <si>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</si>
  <si>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</si>
  <si>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</si>
  <si>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</si>
  <si>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</si>
  <si>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</si>
  <si>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</si>
  <si>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</si>
  <si>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</si>
  <si>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</si>
  <si>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</si>
  <si>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</si>
  <si>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</si>
  <si>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</si>
  <si>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</si>
  <si>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</si>
  <si>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</si>
  <si>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</si>
  <si>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</si>
  <si>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</si>
  <si>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</si>
  <si>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</si>
  <si>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</si>
  <si>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</si>
  <si>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</si>
  <si>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</si>
  <si>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</si>
  <si>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</si>
  <si>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</si>
  <si>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</si>
  <si>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</si>
  <si>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</si>
  <si>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</si>
  <si>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</si>
  <si>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</si>
  <si>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</si>
  <si>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</si>
  <si>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</si>
  <si>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</si>
  <si>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</si>
  <si>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</si>
  <si>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</si>
  <si>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</si>
  <si>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</si>
  <si>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</si>
  <si>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</si>
  <si>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</si>
  <si>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</si>
  <si>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</si>
  <si>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</si>
  <si>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</si>
  <si>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</si>
  <si>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</si>
  <si>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</si>
  <si>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</si>
  <si>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</si>
  <si>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</si>
  <si>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</si>
  <si>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</si>
  <si>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</si>
  <si>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</si>
  <si>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</si>
  <si>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</si>
  <si>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</si>
  <si>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</si>
  <si>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</si>
  <si>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</si>
  <si>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</si>
  <si>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</si>
  <si>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</si>
  <si>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</si>
  <si>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</si>
  <si>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</si>
  <si>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</si>
  <si>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</si>
  <si>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</si>
  <si>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</si>
  <si>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</si>
  <si>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</si>
  <si>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</si>
  <si>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</si>
  <si>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</si>
  <si>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</si>
  <si>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</si>
  <si>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</si>
  <si>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</si>
  <si>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</si>
  <si>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</si>
  <si>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</si>
  <si>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</si>
  <si>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</si>
  <si>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</si>
  <si>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</si>
  <si>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</si>
  <si>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</si>
  <si>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</si>
  <si>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</si>
  <si>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</si>
  <si>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</si>
  <si>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</si>
  <si>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</si>
  <si>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</si>
  <si>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</si>
  <si>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</si>
  <si>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</si>
  <si>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</si>
  <si>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</si>
  <si>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</si>
  <si>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</si>
  <si>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</si>
  <si>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</si>
  <si>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</si>
  <si>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</si>
  <si>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</si>
  <si>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</si>
  <si>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</si>
  <si>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</si>
  <si>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</si>
  <si>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</si>
  <si>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</si>
  <si>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</si>
  <si>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</si>
  <si>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</si>
  <si>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</si>
  <si>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</si>
  <si>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</si>
  <si>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</si>
  <si>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</si>
  <si>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</si>
  <si>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</si>
  <si>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</si>
  <si>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</si>
  <si>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</si>
  <si>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</si>
  <si>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</si>
  <si>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</si>
  <si>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</si>
  <si>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</si>
  <si>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</si>
  <si>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</si>
  <si>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</si>
  <si>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</si>
  <si>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</si>
  <si>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</si>
  <si>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</si>
  <si>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</si>
  <si>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</si>
  <si>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</si>
  <si>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</si>
  <si>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</si>
  <si>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</si>
  <si>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</si>
  <si>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</si>
  <si>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</si>
  <si>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</si>
  <si>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</si>
  <si>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</si>
  <si>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</si>
  <si>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</si>
  <si>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</si>
  <si>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</si>
  <si>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</si>
  <si>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</si>
  <si>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</si>
  <si>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</si>
  <si>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</si>
  <si>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</si>
  <si>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</si>
  <si>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</si>
  <si>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</si>
  <si>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</si>
  <si>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</si>
  <si>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</si>
  <si>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</si>
  <si>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</si>
  <si>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</si>
  <si>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</si>
  <si>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</si>
  <si>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</si>
  <si>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</si>
  <si>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</si>
  <si>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</si>
  <si>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</si>
  <si>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</si>
  <si>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</si>
  <si>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</si>
  <si>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</si>
  <si>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</si>
  <si>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</si>
  <si>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</si>
  <si>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</si>
  <si>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</si>
  <si>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</si>
  <si>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</si>
  <si>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</si>
  <si>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</si>
  <si>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</si>
  <si>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</si>
  <si>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</si>
  <si>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</si>
  <si>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</si>
  <si>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</si>
  <si>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</si>
  <si>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</si>
  <si>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</si>
  <si>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</si>
  <si>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</si>
  <si>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</si>
  <si>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</si>
  <si>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</si>
  <si>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</si>
  <si>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</si>
  <si>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</si>
  <si>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</si>
  <si>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</si>
  <si>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</si>
  <si>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</si>
  <si>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</si>
  <si>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</si>
  <si>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</si>
  <si>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</si>
  <si>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</si>
  <si>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</si>
  <si>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</si>
  <si>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</si>
  <si>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</si>
  <si>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</si>
  <si>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</si>
  <si>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</si>
  <si>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</si>
  <si>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</si>
  <si>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</si>
  <si>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</si>
  <si>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</si>
  <si>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</si>
  <si>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</si>
  <si>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</si>
  <si>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</si>
  <si>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</si>
  <si>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</si>
  <si>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</si>
  <si>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</si>
  <si>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</si>
  <si>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</si>
  <si>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</si>
  <si>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</si>
  <si>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</si>
  <si>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</si>
  <si>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</si>
  <si>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</si>
  <si>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</si>
  <si>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</si>
  <si>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</si>
  <si>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</si>
  <si>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</si>
  <si>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</si>
  <si>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</si>
  <si>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</si>
  <si>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</si>
  <si>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</si>
  <si>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</si>
  <si>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</si>
  <si>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</si>
  <si>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</si>
  <si>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</si>
  <si>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</si>
  <si>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</si>
  <si>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</si>
  <si>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</si>
  <si>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</si>
  <si>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</si>
  <si>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</si>
  <si>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</si>
  <si>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</si>
  <si>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</si>
  <si>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</si>
  <si>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</si>
  <si>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</si>
  <si>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</si>
  <si>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</si>
  <si>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</si>
  <si>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</si>
  <si>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</si>
  <si>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</si>
  <si>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</si>
  <si>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</si>
  <si>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</si>
  <si>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</si>
  <si>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</si>
  <si>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</si>
  <si>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</si>
  <si>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</si>
  <si>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</si>
  <si>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</si>
  <si>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</si>
  <si>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</si>
  <si>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</si>
  <si>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</si>
  <si>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</si>
  <si>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</si>
  <si>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</si>
  <si>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</si>
  <si>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</si>
  <si>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</si>
  <si>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</si>
  <si>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</si>
  <si>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</si>
  <si>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</si>
  <si>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</si>
  <si>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</si>
  <si>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</si>
  <si>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</si>
  <si>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</si>
  <si>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</si>
  <si>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</si>
  <si>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</si>
  <si>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</si>
  <si>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</si>
  <si>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</si>
  <si>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</si>
  <si>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</si>
  <si>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</si>
  <si>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</si>
  <si>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</si>
  <si>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</si>
  <si>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</si>
  <si>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</si>
  <si>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</si>
  <si>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</si>
  <si>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</si>
  <si>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</si>
  <si>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</si>
  <si>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</si>
  <si>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</si>
  <si>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</si>
  <si>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</si>
  <si>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</si>
  <si>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</si>
  <si>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</si>
  <si>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</si>
  <si>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</si>
  <si>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</si>
  <si>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</si>
  <si>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</si>
  <si>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</si>
  <si>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</si>
  <si>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</si>
  <si>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</si>
  <si>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</si>
  <si>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</si>
  <si>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</si>
  <si>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</si>
  <si>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</si>
  <si>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</si>
  <si>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</si>
  <si>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</si>
  <si>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</si>
  <si>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</si>
  <si>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</si>
  <si>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</si>
  <si>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</si>
  <si>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</si>
  <si>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</si>
  <si>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</si>
  <si>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</si>
  <si>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</si>
  <si>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</si>
  <si>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</si>
  <si>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</si>
  <si>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</si>
  <si>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</si>
  <si>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</si>
  <si>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</si>
  <si>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</si>
  <si>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</si>
  <si>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</si>
  <si>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</si>
  <si>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</si>
  <si>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</si>
  <si>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</si>
  <si>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</si>
  <si>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</si>
  <si>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</si>
  <si>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</si>
  <si>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</si>
  <si>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</si>
  <si>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</si>
  <si>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</si>
  <si>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</si>
  <si>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</si>
  <si>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</si>
  <si>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</si>
  <si>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</si>
  <si>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</si>
  <si>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</si>
  <si>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</si>
  <si>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</si>
  <si>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</si>
  <si>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</si>
  <si>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</si>
  <si>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</si>
  <si>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</si>
  <si>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</si>
  <si>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</si>
  <si>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</si>
  <si>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</si>
  <si>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</si>
  <si>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</si>
  <si>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</si>
  <si>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</si>
  <si>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</si>
  <si>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</si>
  <si>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</si>
  <si>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</si>
  <si>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</si>
  <si>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</si>
  <si>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</si>
  <si>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</si>
  <si>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</si>
  <si>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</si>
  <si>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</si>
  <si>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</si>
  <si>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</si>
  <si>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</si>
  <si>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</si>
  <si>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</si>
  <si>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</si>
  <si>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</si>
  <si>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</si>
  <si>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</si>
  <si>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</si>
  <si>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</si>
  <si>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</si>
  <si>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</si>
  <si>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</si>
  <si>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</si>
  <si>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</si>
  <si>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</si>
  <si>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</si>
  <si>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</si>
  <si>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</si>
  <si>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</si>
  <si>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</si>
  <si>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</si>
  <si>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</si>
  <si>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</si>
  <si>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</si>
  <si>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</si>
  <si>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</si>
  <si>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</si>
  <si>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</si>
  <si>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</si>
  <si>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</si>
  <si>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</si>
  <si>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</si>
  <si>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</si>
  <si>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</si>
  <si>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</si>
  <si>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</si>
  <si>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</si>
  <si>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</si>
  <si>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</si>
  <si>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</si>
  <si>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</si>
  <si>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</si>
  <si>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</si>
  <si>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</si>
  <si>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</si>
  <si>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</si>
  <si>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</si>
  <si>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</si>
  <si>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</si>
  <si>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</si>
  <si>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</si>
  <si>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</si>
  <si>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</si>
  <si>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</si>
  <si>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</si>
  <si>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</si>
  <si>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</si>
  <si>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</si>
  <si>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</si>
  <si>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</si>
  <si>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</si>
  <si>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</si>
  <si>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</si>
  <si>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</si>
  <si>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</si>
  <si>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</si>
  <si>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</si>
  <si>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</si>
  <si>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</si>
  <si>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</si>
  <si>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</si>
  <si>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</si>
  <si>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</si>
  <si>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</si>
  <si>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</si>
  <si>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</si>
  <si>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</si>
  <si>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</si>
  <si>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</si>
  <si>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</si>
  <si>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</si>
  <si>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</si>
  <si>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</si>
  <si>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</si>
  <si>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</si>
  <si>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</si>
  <si>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</si>
  <si>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</si>
  <si>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</si>
  <si>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</si>
  <si>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</si>
  <si>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</si>
  <si>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</si>
  <si>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</si>
  <si>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</si>
  <si>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</si>
  <si>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</si>
  <si>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</si>
  <si>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</si>
  <si>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</si>
  <si>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</si>
  <si>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</si>
  <si>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</si>
  <si>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</si>
  <si>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</si>
  <si>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</si>
  <si>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</si>
  <si>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</si>
  <si>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</si>
  <si>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</si>
  <si>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</si>
  <si>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</si>
  <si>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</si>
  <si>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</si>
  <si>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</si>
  <si>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</si>
  <si>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</si>
  <si>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</si>
  <si>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</si>
  <si>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23:58</t>
  </si>
  <si>
    <t>23:59</t>
  </si>
  <si>
    <t>24:00</t>
  </si>
  <si>
    <t>24:01</t>
  </si>
  <si>
    <t>24:02</t>
  </si>
  <si>
    <t>24:03</t>
  </si>
  <si>
    <t>24:04</t>
  </si>
  <si>
    <t>24:05</t>
  </si>
  <si>
    <t>24:06</t>
  </si>
  <si>
    <t>24:07</t>
  </si>
  <si>
    <t>24:08</t>
  </si>
  <si>
    <t>24:09</t>
  </si>
  <si>
    <t>24:10</t>
  </si>
  <si>
    <t>24:11</t>
  </si>
  <si>
    <t>24:12</t>
  </si>
  <si>
    <t>24:13</t>
  </si>
  <si>
    <t>24:14</t>
  </si>
  <si>
    <t>24:15</t>
  </si>
  <si>
    <t>24:16</t>
  </si>
  <si>
    <t>24:17</t>
  </si>
  <si>
    <t>24:18</t>
  </si>
  <si>
    <t>24:19</t>
  </si>
  <si>
    <t>24:20</t>
  </si>
  <si>
    <t>24:21</t>
  </si>
  <si>
    <t>24:22</t>
  </si>
  <si>
    <t>24:23</t>
  </si>
  <si>
    <t>24:24</t>
  </si>
  <si>
    <t>24:25</t>
  </si>
  <si>
    <t>24:26</t>
  </si>
  <si>
    <t>24:27</t>
  </si>
  <si>
    <t>24:28</t>
  </si>
  <si>
    <t>24:29</t>
  </si>
  <si>
    <t>24:30</t>
  </si>
  <si>
    <t>24:31</t>
  </si>
  <si>
    <t>24:32</t>
  </si>
  <si>
    <t>24:33</t>
  </si>
  <si>
    <t>24:34</t>
  </si>
  <si>
    <t>24:35</t>
  </si>
  <si>
    <t>24:36</t>
  </si>
  <si>
    <t>24:37</t>
  </si>
  <si>
    <t>24:38</t>
  </si>
  <si>
    <t>24:39</t>
  </si>
  <si>
    <t>24:40</t>
  </si>
  <si>
    <t>24:41</t>
  </si>
  <si>
    <t>24:42</t>
  </si>
  <si>
    <t>24:43</t>
  </si>
  <si>
    <t>24:44</t>
  </si>
  <si>
    <t>24:45</t>
  </si>
  <si>
    <t>24:46</t>
  </si>
  <si>
    <t>24:47</t>
  </si>
  <si>
    <t>24:48</t>
  </si>
  <si>
    <t>24:49</t>
  </si>
  <si>
    <t>24:50</t>
  </si>
  <si>
    <t>24:51</t>
  </si>
  <si>
    <t>24:52</t>
  </si>
  <si>
    <t>24:53</t>
  </si>
  <si>
    <t>24:54</t>
  </si>
  <si>
    <t>24:55</t>
  </si>
  <si>
    <t>24:56</t>
  </si>
  <si>
    <t>24:57</t>
  </si>
  <si>
    <t>24:58</t>
  </si>
  <si>
    <t>24:59</t>
  </si>
  <si>
    <t>25:00</t>
  </si>
  <si>
    <t>25:01</t>
  </si>
  <si>
    <t>25:02</t>
  </si>
  <si>
    <t>25:03</t>
  </si>
  <si>
    <t>25:04</t>
  </si>
  <si>
    <t>25:05</t>
  </si>
  <si>
    <t>25:06</t>
  </si>
  <si>
    <t>25:07</t>
  </si>
  <si>
    <t>25:08</t>
  </si>
  <si>
    <t>25:09</t>
  </si>
  <si>
    <t>25:10</t>
  </si>
  <si>
    <t>25:11</t>
  </si>
  <si>
    <t>25:12</t>
  </si>
  <si>
    <t>25:13</t>
  </si>
  <si>
    <t>25:14</t>
  </si>
  <si>
    <t>25:15</t>
  </si>
  <si>
    <t>25:16</t>
  </si>
  <si>
    <t>25:17</t>
  </si>
  <si>
    <t>25:18</t>
  </si>
  <si>
    <t>25:19</t>
  </si>
  <si>
    <t>25:20</t>
  </si>
  <si>
    <t>25:21</t>
  </si>
  <si>
    <t>25:22</t>
  </si>
  <si>
    <t>25:23</t>
  </si>
  <si>
    <t>25:24</t>
  </si>
  <si>
    <t>25:25</t>
  </si>
  <si>
    <t>25:26</t>
  </si>
  <si>
    <t>25:27</t>
  </si>
  <si>
    <t>25:28</t>
  </si>
  <si>
    <t>25:29</t>
  </si>
  <si>
    <t>25:30</t>
  </si>
  <si>
    <t>25:31</t>
  </si>
  <si>
    <t>25:32</t>
  </si>
  <si>
    <t>25:33</t>
  </si>
  <si>
    <t>25:34</t>
  </si>
  <si>
    <t>25:35</t>
  </si>
  <si>
    <t>25:36</t>
  </si>
  <si>
    <t>25:37</t>
  </si>
  <si>
    <t>25:38</t>
  </si>
  <si>
    <t>25:39</t>
  </si>
  <si>
    <t>25:40</t>
  </si>
  <si>
    <t>25:41</t>
  </si>
  <si>
    <t>25:42</t>
  </si>
  <si>
    <t>25:43</t>
  </si>
  <si>
    <t>25:44</t>
  </si>
  <si>
    <t>25:45</t>
  </si>
  <si>
    <t>25:46</t>
  </si>
  <si>
    <t>25:47</t>
  </si>
  <si>
    <t>25:48</t>
  </si>
  <si>
    <t>25:49</t>
  </si>
  <si>
    <t>25:50</t>
  </si>
  <si>
    <t>25:51</t>
  </si>
  <si>
    <t>25:52</t>
  </si>
  <si>
    <t>25:53</t>
  </si>
  <si>
    <t>25:54</t>
  </si>
  <si>
    <t>25:55</t>
  </si>
  <si>
    <t>25:56</t>
  </si>
  <si>
    <t>25:57</t>
  </si>
  <si>
    <t>25:58</t>
  </si>
  <si>
    <t>25:59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</si>
  <si>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</si>
  <si>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</si>
  <si>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</si>
  <si>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</si>
  <si>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</si>
  <si>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</si>
  <si>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</si>
  <si>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</si>
  <si>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</si>
  <si>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</si>
  <si>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首重播</t>
  </si>
  <si>
    <t>国歌</t>
  </si>
  <si>
    <t>周五</t>
  </si>
  <si>
    <t>05:52:45</t>
  </si>
  <si>
    <t>1</t>
  </si>
  <si>
    <t>05:53:34</t>
  </si>
  <si>
    <t>级别 1</t>
  </si>
  <si>
    <t>音乐</t>
  </si>
  <si>
    <t>音乐其它</t>
  </si>
  <si>
    <t>乡村达人秀</t>
  </si>
  <si>
    <t>05:55:49</t>
  </si>
  <si>
    <t>3</t>
  </si>
  <si>
    <t>05:58:49</t>
  </si>
  <si>
    <t>综艺</t>
  </si>
  <si>
    <t>综艺其它</t>
  </si>
  <si>
    <t>0.631</t>
  </si>
  <si>
    <t>超级农人秀</t>
  </si>
  <si>
    <t>06:00:04</t>
  </si>
  <si>
    <t>55</t>
  </si>
  <si>
    <t>06:55:04</t>
  </si>
  <si>
    <t>专题</t>
  </si>
  <si>
    <t>农业</t>
  </si>
  <si>
    <t>0.467</t>
  </si>
  <si>
    <t>0.575</t>
  </si>
  <si>
    <t>群英汇话新春</t>
  </si>
  <si>
    <t>06:58:04</t>
  </si>
  <si>
    <t>51</t>
  </si>
  <si>
    <t>07:48:48</t>
  </si>
  <si>
    <t>0.939</t>
  </si>
  <si>
    <t>0.006</t>
  </si>
  <si>
    <t>0.434</t>
  </si>
  <si>
    <t>中国三农报道</t>
  </si>
  <si>
    <t>07:50:03</t>
  </si>
  <si>
    <t>29</t>
  </si>
  <si>
    <t>08:18:50</t>
  </si>
  <si>
    <t>0.517</t>
  </si>
  <si>
    <t>0.01</t>
  </si>
  <si>
    <t>三农群英汇</t>
  </si>
  <si>
    <t>08:20:05</t>
  </si>
  <si>
    <t>28</t>
  </si>
  <si>
    <t>08:48:05</t>
  </si>
  <si>
    <t>0.179</t>
  </si>
  <si>
    <t>0.35</t>
  </si>
  <si>
    <t>暖暖的灶台</t>
  </si>
  <si>
    <t>08:51:04</t>
  </si>
  <si>
    <t>26</t>
  </si>
  <si>
    <t>09:17:20</t>
  </si>
  <si>
    <t>专题片</t>
  </si>
  <si>
    <t>0.728</t>
  </si>
  <si>
    <t>0.993</t>
  </si>
  <si>
    <t>谁知盘中餐</t>
  </si>
  <si>
    <t>09:20:03</t>
  </si>
  <si>
    <t>56</t>
  </si>
  <si>
    <t>10:15:35</t>
  </si>
  <si>
    <t>0.675</t>
  </si>
  <si>
    <t>0.032</t>
  </si>
  <si>
    <t>0.733</t>
  </si>
  <si>
    <t>绽放吧百合</t>
  </si>
  <si>
    <t>11</t>
  </si>
  <si>
    <t>10:18:50</t>
  </si>
  <si>
    <t>46</t>
  </si>
  <si>
    <t>11:04:50</t>
  </si>
  <si>
    <t>内地电视剧</t>
  </si>
  <si>
    <t>0.921</t>
  </si>
  <si>
    <t>0.048</t>
  </si>
  <si>
    <t>0.657</t>
  </si>
  <si>
    <t>12</t>
  </si>
  <si>
    <t>11:09:50</t>
  </si>
  <si>
    <t>11:55:50</t>
  </si>
  <si>
    <t>0.055</t>
  </si>
  <si>
    <t>1.146</t>
  </si>
  <si>
    <t>12:00:05</t>
  </si>
  <si>
    <t>30</t>
  </si>
  <si>
    <t>12:29:35</t>
  </si>
  <si>
    <t>0.153</t>
  </si>
  <si>
    <t>0.573</t>
  </si>
  <si>
    <t>12:30:05</t>
  </si>
  <si>
    <t>58</t>
  </si>
  <si>
    <t>13:27:35</t>
  </si>
  <si>
    <t>0.279</t>
  </si>
  <si>
    <t>0.053</t>
  </si>
  <si>
    <t>0.695</t>
  </si>
  <si>
    <t>首播</t>
  </si>
  <si>
    <t>13:28:35</t>
  </si>
  <si>
    <t>5</t>
  </si>
  <si>
    <t>13:33:35</t>
  </si>
  <si>
    <t>0.643</t>
  </si>
  <si>
    <t>妈妈在等你</t>
  </si>
  <si>
    <t>13:35:35</t>
  </si>
  <si>
    <t>14:21:35</t>
  </si>
  <si>
    <t>1.048</t>
  </si>
  <si>
    <t>0.067</t>
  </si>
  <si>
    <t>0.068</t>
  </si>
  <si>
    <t>1.022</t>
  </si>
  <si>
    <t>2</t>
  </si>
  <si>
    <t>14:26:54</t>
  </si>
  <si>
    <t>15:12:53</t>
  </si>
  <si>
    <t>0.821</t>
  </si>
  <si>
    <t>0.05</t>
  </si>
  <si>
    <t>0.074</t>
  </si>
  <si>
    <t>1.137</t>
  </si>
  <si>
    <t>15:17:59</t>
  </si>
  <si>
    <t>16:04:00</t>
  </si>
  <si>
    <t>0.836</t>
  </si>
  <si>
    <t>0.108</t>
  </si>
  <si>
    <t>1.557</t>
  </si>
  <si>
    <t>4</t>
  </si>
  <si>
    <t>16:10:14</t>
  </si>
  <si>
    <t>16:56:14</t>
  </si>
  <si>
    <t>0.665</t>
  </si>
  <si>
    <t>0.127</t>
  </si>
  <si>
    <t>1.692</t>
  </si>
  <si>
    <t>田园帮帮团</t>
  </si>
  <si>
    <t>17:00:35</t>
  </si>
  <si>
    <t>57</t>
  </si>
  <si>
    <t>17:58:06</t>
  </si>
  <si>
    <t>0.49</t>
  </si>
  <si>
    <t>0.056</t>
  </si>
  <si>
    <t>0.601</t>
  </si>
  <si>
    <t>18:00:05</t>
  </si>
  <si>
    <t>33</t>
  </si>
  <si>
    <t>18:32:34</t>
  </si>
  <si>
    <t>0.348</t>
  </si>
  <si>
    <t>0.103</t>
  </si>
  <si>
    <t>0.83</t>
  </si>
  <si>
    <t>13</t>
  </si>
  <si>
    <t>18:40:58</t>
  </si>
  <si>
    <t>19:26:58</t>
  </si>
  <si>
    <t>1.207</t>
  </si>
  <si>
    <t>0.197</t>
  </si>
  <si>
    <t>0.174</t>
  </si>
  <si>
    <t>1.03</t>
  </si>
  <si>
    <t>14</t>
  </si>
  <si>
    <t>19:36:34</t>
  </si>
  <si>
    <t>20:22:34</t>
  </si>
  <si>
    <t>1.237</t>
  </si>
  <si>
    <t>0.254</t>
  </si>
  <si>
    <t>0.192</t>
  </si>
  <si>
    <t>0.9</t>
  </si>
  <si>
    <t>时光的礼物</t>
  </si>
  <si>
    <t>20:32:04</t>
  </si>
  <si>
    <t>68</t>
  </si>
  <si>
    <t>21:40:21</t>
  </si>
  <si>
    <t>0.469</t>
  </si>
  <si>
    <t>0.356</t>
  </si>
  <si>
    <t>21:44:04</t>
  </si>
  <si>
    <t>52</t>
  </si>
  <si>
    <t>22:36:04</t>
  </si>
  <si>
    <t>0.19</t>
  </si>
  <si>
    <t>0.03</t>
  </si>
  <si>
    <t>0.285</t>
  </si>
  <si>
    <t>漂洋过海寻年味</t>
  </si>
  <si>
    <t>22:38:04</t>
  </si>
  <si>
    <t>50</t>
  </si>
  <si>
    <t>23:28:05</t>
  </si>
  <si>
    <t>0.128</t>
  </si>
  <si>
    <t>0.007</t>
  </si>
  <si>
    <t>0.12</t>
  </si>
  <si>
    <t>村庄里的中国</t>
  </si>
  <si>
    <t>8</t>
  </si>
  <si>
    <t>23:31:34</t>
  </si>
  <si>
    <t>24:01:35</t>
  </si>
  <si>
    <t>0.753</t>
  </si>
  <si>
    <t>0.022</t>
  </si>
  <si>
    <t>欢乐农家院麻辣酸甜咸</t>
  </si>
  <si>
    <t>49</t>
  </si>
  <si>
    <t>24:03:34</t>
  </si>
  <si>
    <t>23</t>
  </si>
  <si>
    <t>24:26:34</t>
  </si>
  <si>
    <t>栏目剧(始于2006年1月1日)</t>
  </si>
  <si>
    <t>0.258</t>
  </si>
  <si>
    <t>24:49:34</t>
  </si>
  <si>
    <t>0.016</t>
  </si>
  <si>
    <t>25:12:35</t>
  </si>
  <si>
    <t>时间</t>
  </si>
  <si>
    <t>相对吸引力</t>
  </si>
  <si>
    <t>7.914</t>
  </si>
  <si>
    <t>1.92</t>
  </si>
  <si>
    <t>1.573</t>
  </si>
  <si>
    <t>0.516</t>
  </si>
  <si>
    <t>2.174</t>
  </si>
  <si>
    <t>2.537</t>
  </si>
  <si>
    <t>12.762</t>
  </si>
  <si>
    <t>5.572</t>
  </si>
  <si>
    <t>38.718</t>
  </si>
  <si>
    <t>28.801</t>
  </si>
  <si>
    <t>48.099</t>
  </si>
  <si>
    <t>40.619</t>
  </si>
  <si>
    <t>42.482</t>
  </si>
  <si>
    <t>46.138</t>
  </si>
  <si>
    <t>67.447</t>
  </si>
  <si>
    <t>45.774</t>
  </si>
  <si>
    <t>41.829</t>
  </si>
  <si>
    <t>47.778</t>
  </si>
  <si>
    <t>33.705</t>
  </si>
  <si>
    <t>46.318</t>
  </si>
  <si>
    <t>64.227</t>
  </si>
  <si>
    <t>47.002</t>
  </si>
  <si>
    <t>39.101</t>
  </si>
  <si>
    <t>40.645</t>
  </si>
  <si>
    <t>39.128</t>
  </si>
  <si>
    <t>51.137</t>
  </si>
  <si>
    <t>48.125</t>
  </si>
  <si>
    <t>50.661</t>
  </si>
  <si>
    <t>51.101</t>
  </si>
  <si>
    <t>79.705</t>
  </si>
  <si>
    <t>59.636</t>
  </si>
  <si>
    <t>17.327</t>
  </si>
  <si>
    <t>38.749</t>
  </si>
  <si>
    <t>26.796</t>
  </si>
  <si>
    <t>40.825</t>
  </si>
  <si>
    <t>46.119</t>
  </si>
  <si>
    <t>43.612</t>
  </si>
  <si>
    <t>55.457</t>
  </si>
  <si>
    <t>41.353</t>
  </si>
  <si>
    <t>42.242</t>
  </si>
  <si>
    <t>64.329</t>
  </si>
  <si>
    <t>72.843</t>
  </si>
  <si>
    <t>59.644</t>
  </si>
  <si>
    <t>47.4</t>
  </si>
  <si>
    <t>55.343</t>
  </si>
  <si>
    <t>92.782</t>
  </si>
  <si>
    <t>63.828</t>
  </si>
  <si>
    <t>57.004</t>
  </si>
  <si>
    <t>55.094</t>
  </si>
  <si>
    <t>41.147</t>
  </si>
  <si>
    <t>63.79</t>
  </si>
  <si>
    <t>31.452</t>
  </si>
  <si>
    <t>40.888</t>
  </si>
  <si>
    <t>48.52</t>
  </si>
  <si>
    <t>45.17</t>
  </si>
  <si>
    <t>46.192</t>
  </si>
  <si>
    <t>45.26</t>
  </si>
  <si>
    <t>54.38</t>
  </si>
  <si>
    <t>53.252</t>
  </si>
  <si>
    <t>86.08</t>
  </si>
  <si>
    <t>70.806</t>
  </si>
  <si>
    <t>68.344</t>
  </si>
  <si>
    <t>63.685</t>
  </si>
  <si>
    <t>66.288</t>
  </si>
  <si>
    <t>62.601</t>
  </si>
  <si>
    <t>55.768</t>
  </si>
  <si>
    <t>42.844</t>
  </si>
  <si>
    <t>45.858</t>
  </si>
  <si>
    <t>47.437</t>
  </si>
  <si>
    <t>37.023</t>
  </si>
  <si>
    <t>45.893</t>
  </si>
  <si>
    <t>33.724</t>
  </si>
  <si>
    <t>47.061</t>
  </si>
  <si>
    <t>21.307</t>
  </si>
  <si>
    <t>51.887</t>
  </si>
  <si>
    <t>30.901</t>
  </si>
  <si>
    <t>50.69</t>
  </si>
  <si>
    <t>89.267</t>
  </si>
  <si>
    <t>47.186</t>
  </si>
  <si>
    <t>15.34</t>
  </si>
  <si>
    <t>57.258</t>
  </si>
  <si>
    <t>9.48</t>
  </si>
  <si>
    <t>34.847</t>
  </si>
  <si>
    <t>27.856</t>
  </si>
  <si>
    <t>21.951</t>
  </si>
  <si>
    <t>前推1个月</t>
  </si>
  <si>
    <t>今天</t>
  </si>
  <si>
    <t>时间段</t>
  </si>
  <si>
    <t>收视率变化幅度</t>
  </si>
  <si>
    <t>市场份额变化幅度</t>
  </si>
  <si>
    <t>05:57-10:23</t>
  </si>
  <si>
    <t>10:23-12:00</t>
  </si>
  <si>
    <t>12:00-13:48</t>
  </si>
  <si>
    <t>13:48-17:07</t>
  </si>
  <si>
    <t>17:07-18:38</t>
  </si>
  <si>
    <t>18:38-20:27</t>
  </si>
  <si>
    <t>20:27-24:01</t>
  </si>
  <si>
    <t>24:01-24:25</t>
  </si>
  <si>
    <t>变化幅度</t>
  </si>
  <si>
    <t>名称/描述</t>
  </si>
  <si>
    <t>09:30 - 12:00</t>
  </si>
  <si>
    <t>刘家媳妇-有你才有家</t>
  </si>
  <si>
    <t>12:30 - 17:00</t>
  </si>
  <si>
    <t>姥姥的饺子馆-最美的乡村-我最爱的家人-绽放吧百合-故乡的泥土</t>
  </si>
  <si>
    <t>18:30 - 22:00</t>
  </si>
  <si>
    <t>摘要 &gt;&gt;</t>
  </si>
  <si>
    <t>摘要</t>
  </si>
  <si>
    <t>各剧场观众规模</t>
  </si>
  <si>
    <t>前推1个月日均值</t>
  </si>
  <si>
    <t>目标</t>
  </si>
  <si>
    <t>观众规模（万人）</t>
  </si>
  <si>
    <t>日均观众规模（万人）</t>
  </si>
  <si>
    <t>12:20 - 18:00</t>
  </si>
  <si>
    <t>四岁及以上所有人</t>
  </si>
  <si>
    <t>上午剧场</t>
  </si>
  <si>
    <t>09:30-12:00</t>
  </si>
  <si>
    <t>男</t>
  </si>
  <si>
    <t>下午剧场</t>
  </si>
  <si>
    <t>12:20-18:00</t>
  </si>
  <si>
    <t>女</t>
  </si>
  <si>
    <t>黄金剧场</t>
  </si>
  <si>
    <t>18:30-22:00</t>
  </si>
  <si>
    <t>4-14岁</t>
  </si>
  <si>
    <t>15-24岁</t>
  </si>
  <si>
    <t>25-34岁</t>
  </si>
  <si>
    <t>35-44岁</t>
  </si>
  <si>
    <t>45-54岁</t>
  </si>
  <si>
    <t>55-64岁</t>
  </si>
  <si>
    <t>65岁以上</t>
  </si>
  <si>
    <t>未受过正规教育</t>
  </si>
  <si>
    <t>小学</t>
  </si>
  <si>
    <t>初中</t>
  </si>
  <si>
    <t>高中</t>
  </si>
  <si>
    <t>大学以上</t>
  </si>
  <si>
    <t>城市</t>
  </si>
  <si>
    <t>乡村</t>
  </si>
  <si>
    <t>2026/1/17收视率%</t>
  </si>
  <si>
    <t>2026/1/17市场份额%</t>
  </si>
  <si>
    <t>前1个月同时段收视率%</t>
  </si>
  <si>
    <t>前1个月同时段市场份额%</t>
  </si>
  <si>
    <t>收视率变化</t>
  </si>
  <si>
    <t>市场份额变化</t>
  </si>
  <si>
    <t>乡理乡亲</t>
  </si>
  <si>
    <t>17:07-17:32</t>
  </si>
  <si>
    <t>17:34-17:59</t>
  </si>
  <si>
    <t>18:00-18:33</t>
  </si>
  <si>
    <t>21:20-21:46</t>
  </si>
  <si>
    <t>节目名称+首播时间</t>
  </si>
  <si>
    <t>乡村大舞台</t>
  </si>
  <si>
    <t>观众规模(万人)</t>
  </si>
  <si>
    <t>前1个月日均值</t>
  </si>
  <si>
    <t>首播节目观众总触达</t>
  </si>
  <si>
    <t>到达率(000)</t>
  </si>
  <si>
    <t>到达率(万人)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</si>
</sst>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_);[Red]\(0.000\)"/>
    <numFmt numFmtId="178" formatCode="0_ "/>
    <numFmt numFmtId="179" formatCode="0.0000_);[Red]\(0.0000\)"/>
    <numFmt numFmtId="180" formatCode="0.000_ "/>
    <numFmt numFmtId="181" formatCode="0.000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name val="等线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57">
    <xf numFmtId="0" fontId="0" fillId="0" borderId="0" xfId="0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Alignment="1"/>
    <xf numFmtId="9" fontId="0" fillId="0" borderId="0" xfId="3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4" fontId="0" fillId="0" borderId="0" xfId="0" applyNumberFormat="1" applyAlignment="1">
      <alignment vertical="center" wrapText="1"/>
    </xf>
    <xf numFmtId="177" fontId="0" fillId="2" borderId="1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9" fontId="0" fillId="0" borderId="1" xfId="3" applyFont="1" applyBorder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49" fontId="0" fillId="0" borderId="0" xfId="49" applyNumberFormat="1" applyFont="1"/>
    <xf numFmtId="49" fontId="4" fillId="0" borderId="0" xfId="0" applyNumberFormat="1" applyFont="1" applyFill="1" applyAlignment="1"/>
    <xf numFmtId="0" fontId="0" fillId="0" borderId="0" xfId="49"/>
    <xf numFmtId="49" fontId="0" fillId="0" borderId="0" xfId="49" applyNumberFormat="1"/>
    <xf numFmtId="0" fontId="0" fillId="0" borderId="0" xfId="49" applyFont="1" applyFill="1" applyAlignment="1"/>
    <xf numFmtId="49" fontId="0" fillId="0" borderId="0" xfId="0" applyNumberFormat="1">
      <alignment vertical="center"/>
    </xf>
    <xf numFmtId="14" fontId="0" fillId="0" borderId="0" xfId="49" applyNumberFormat="1"/>
    <xf numFmtId="21" fontId="0" fillId="0" borderId="0" xfId="49" applyNumberFormat="1"/>
    <xf numFmtId="46" fontId="0" fillId="0" borderId="0" xfId="49" applyNumberFormat="1"/>
    <xf numFmtId="0" fontId="0" fillId="0" borderId="0" xfId="49" applyFont="1"/>
    <xf numFmtId="49" fontId="0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49" applyAlignment="1">
      <alignment vertical="center"/>
    </xf>
    <xf numFmtId="180" fontId="0" fillId="0" borderId="0" xfId="49" applyNumberFormat="1" applyAlignment="1">
      <alignment vertical="center"/>
    </xf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49" fontId="0" fillId="0" borderId="0" xfId="49" applyNumberFormat="1" applyFont="1" applyAlignment="1">
      <alignment vertical="center"/>
    </xf>
    <xf numFmtId="14" fontId="0" fillId="0" borderId="0" xfId="49" applyNumberFormat="1" applyAlignment="1">
      <alignment vertical="center"/>
    </xf>
    <xf numFmtId="181" fontId="0" fillId="0" borderId="0" xfId="49" applyNumberFormat="1" applyAlignment="1">
      <alignment vertical="center"/>
    </xf>
    <xf numFmtId="0" fontId="5" fillId="0" borderId="0" xfId="49" applyFont="1" applyAlignment="1">
      <alignment vertical="center"/>
    </xf>
    <xf numFmtId="14" fontId="5" fillId="0" borderId="0" xfId="49" applyNumberFormat="1" applyFont="1" applyAlignment="1">
      <alignment vertical="center"/>
    </xf>
    <xf numFmtId="0" fontId="0" fillId="0" borderId="0" xfId="49" applyFill="1" applyAlignment="1">
      <alignment vertical="center"/>
    </xf>
    <xf numFmtId="49" fontId="0" fillId="0" borderId="0" xfId="49" applyNumberFormat="1" applyAlignment="1">
      <alignment vertical="center"/>
    </xf>
    <xf numFmtId="49" fontId="0" fillId="0" borderId="0" xfId="49" applyNumberFormat="1" applyFont="1" applyFill="1" applyAlignment="1">
      <alignment vertical="center"/>
    </xf>
    <xf numFmtId="49" fontId="0" fillId="0" borderId="0" xfId="49" applyNumberFormat="1" applyFill="1" applyAlignment="1">
      <alignment vertical="center"/>
    </xf>
    <xf numFmtId="14" fontId="0" fillId="0" borderId="0" xfId="49" applyNumberFormat="1" applyFont="1"/>
    <xf numFmtId="0" fontId="0" fillId="3" borderId="0" xfId="0" applyFont="1" applyFill="1" applyAlignment="1">
      <alignment vertical="center"/>
    </xf>
    <xf numFmtId="0" fontId="0" fillId="3" borderId="0" xfId="49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dxfs count="3">
    <dxf>
      <font>
        <b val="1"/>
      </font>
      <fill>
        <patternFill patternType="solid">
          <bgColor rgb="FFFFFF00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workbookViewId="0">
      <selection activeCell="G1" sqref="G$1:W$1048576"/>
    </sheetView>
  </sheetViews>
  <sheetFormatPr defaultColWidth="9" defaultRowHeight="14"/>
  <cols>
    <col min="1" max="1" width="23.375" customWidth="1"/>
    <col min="2" max="2" width="22.875" style="7" customWidth="1"/>
    <col min="4" max="4" width="9.875" customWidth="1"/>
    <col min="5" max="5" width="12" customWidth="1"/>
    <col min="6" max="6" width="10.875" customWidth="1"/>
    <col min="7" max="7" width="8.875" style="55" customWidth="1"/>
    <col min="8" max="9" width="16.625" style="55" customWidth="1"/>
    <col min="10" max="23" width="20.625" style="55" customWidth="1"/>
  </cols>
  <sheetData>
    <row r="1" s="30" customFormat="1" spans="1:23">
      <c r="A1" s="30" t="s">
        <v>0</v>
      </c>
      <c r="B1" s="31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  <c r="W1" s="56" t="s">
        <v>22</v>
      </c>
    </row>
    <row r="2" spans="1:23">
      <c r="A2" t="s">
        <v>23</v>
      </c>
      <c r="B2" s="7" t="s">
        <v>24</v>
      </c>
      <c r="C2">
        <v>0.043</v>
      </c>
      <c r="D2">
        <v>0.706</v>
      </c>
      <c r="E2">
        <v>1.703</v>
      </c>
      <c r="F2">
        <v>2.508</v>
      </c>
      <c r="G2" s="55">
        <v>2143.4</v>
      </c>
      <c r="H2" s="55">
        <v>987.5</v>
      </c>
      <c r="I2" s="55">
        <v>1155.9</v>
      </c>
      <c r="J2" s="55">
        <v>83.3</v>
      </c>
      <c r="K2" s="55">
        <v>82.4</v>
      </c>
      <c r="L2" s="55">
        <v>154.3</v>
      </c>
      <c r="M2" s="55">
        <v>161.9</v>
      </c>
      <c r="N2" s="55">
        <v>193</v>
      </c>
      <c r="O2" s="55">
        <v>464.5</v>
      </c>
      <c r="P2" s="55">
        <v>1004</v>
      </c>
      <c r="Q2" s="55">
        <v>214.2</v>
      </c>
      <c r="R2" s="55">
        <v>650.9</v>
      </c>
      <c r="S2" s="55">
        <v>671.9</v>
      </c>
      <c r="T2" s="55">
        <v>436.8</v>
      </c>
      <c r="U2" s="55">
        <v>169.5</v>
      </c>
      <c r="V2" s="55">
        <v>1338.1</v>
      </c>
      <c r="W2" s="55">
        <v>805.3</v>
      </c>
    </row>
    <row r="3" spans="1:23">
      <c r="A3" t="s">
        <v>23</v>
      </c>
      <c r="B3" s="8">
        <v>46079</v>
      </c>
      <c r="C3">
        <v>0.046</v>
      </c>
      <c r="D3">
        <v>0.732</v>
      </c>
      <c r="E3">
        <v>1.837</v>
      </c>
      <c r="F3">
        <v>2.528</v>
      </c>
      <c r="G3" s="55">
        <v>2065.4</v>
      </c>
      <c r="H3" s="55">
        <v>917.6</v>
      </c>
      <c r="I3" s="55">
        <v>1147.8</v>
      </c>
      <c r="J3" s="55">
        <v>75.5</v>
      </c>
      <c r="K3" s="55">
        <v>89.6</v>
      </c>
      <c r="L3" s="55">
        <v>127.2</v>
      </c>
      <c r="M3" s="55">
        <v>63</v>
      </c>
      <c r="N3" s="55">
        <v>299</v>
      </c>
      <c r="O3" s="55">
        <v>315.7</v>
      </c>
      <c r="P3" s="55">
        <v>1095.4</v>
      </c>
      <c r="Q3" s="55">
        <v>217.3</v>
      </c>
      <c r="R3" s="55">
        <v>692.3</v>
      </c>
      <c r="S3" s="55">
        <v>660.4</v>
      </c>
      <c r="T3" s="55">
        <v>296.7</v>
      </c>
      <c r="U3" s="55">
        <v>198.7</v>
      </c>
      <c r="V3" s="55">
        <v>1331.9</v>
      </c>
      <c r="W3" s="55">
        <v>733.5</v>
      </c>
    </row>
    <row r="4" spans="1:23">
      <c r="A4" t="s">
        <v>23</v>
      </c>
      <c r="B4" s="8">
        <v>46080</v>
      </c>
      <c r="C4">
        <v>0.04</v>
      </c>
      <c r="D4">
        <v>0.653</v>
      </c>
      <c r="E4">
        <v>1.604</v>
      </c>
      <c r="F4">
        <v>2.495</v>
      </c>
      <c r="G4" s="55">
        <v>2064.1</v>
      </c>
      <c r="H4" s="55">
        <v>845.7</v>
      </c>
      <c r="I4" s="55">
        <v>1218.4</v>
      </c>
      <c r="J4" s="55">
        <v>91.6</v>
      </c>
      <c r="K4" s="55">
        <v>100.1</v>
      </c>
      <c r="L4" s="55">
        <v>236.1</v>
      </c>
      <c r="M4" s="55">
        <v>185.9</v>
      </c>
      <c r="N4" s="55">
        <v>233.1</v>
      </c>
      <c r="O4" s="55">
        <v>316.4</v>
      </c>
      <c r="P4" s="55">
        <v>901.1</v>
      </c>
      <c r="Q4" s="55">
        <v>276.1</v>
      </c>
      <c r="R4" s="55">
        <v>619.2</v>
      </c>
      <c r="S4" s="55">
        <v>650.4</v>
      </c>
      <c r="T4" s="55">
        <v>311.1</v>
      </c>
      <c r="U4" s="55">
        <v>207.2</v>
      </c>
      <c r="V4" s="55">
        <v>1093.3</v>
      </c>
      <c r="W4" s="55">
        <v>970.8</v>
      </c>
    </row>
    <row r="5" spans="1:6">
      <c r="A5" t="s">
        <v>25</v>
      </c>
      <c r="B5" s="7" t="s">
        <v>24</v>
      </c>
      <c r="C5">
        <v>6.057</v>
      </c>
      <c r="D5">
        <v>100</v>
      </c>
      <c r="E5">
        <v>36.34</v>
      </c>
      <c r="F5">
        <v>16.668</v>
      </c>
    </row>
    <row r="6" spans="1:6">
      <c r="A6" t="s">
        <v>25</v>
      </c>
      <c r="B6" s="8">
        <v>46079</v>
      </c>
      <c r="C6">
        <v>6.349</v>
      </c>
      <c r="D6">
        <v>100</v>
      </c>
      <c r="E6">
        <v>37.677</v>
      </c>
      <c r="F6">
        <v>16.85</v>
      </c>
    </row>
    <row r="7" spans="1:6">
      <c r="A7" t="s">
        <v>25</v>
      </c>
      <c r="B7" s="8">
        <v>46080</v>
      </c>
      <c r="C7">
        <v>6.131</v>
      </c>
      <c r="D7">
        <v>100</v>
      </c>
      <c r="E7">
        <v>36.848</v>
      </c>
      <c r="F7">
        <v>16.638</v>
      </c>
    </row>
    <row r="10" spans="3:6">
      <c r="C10" s="40"/>
      <c r="D10" s="40"/>
      <c r="E10" s="40"/>
      <c r="F10" s="40"/>
    </row>
    <row r="11" spans="3:6">
      <c r="C11" s="40"/>
      <c r="D11" s="40"/>
      <c r="E11" s="40"/>
      <c r="F11" s="40"/>
    </row>
    <row r="12" spans="3:6">
      <c r="C12" s="40"/>
      <c r="D12" s="40"/>
      <c r="E12" s="40"/>
      <c r="F12" s="40"/>
    </row>
    <row r="13" spans="3:6">
      <c r="C13" s="40"/>
      <c r="D13" s="40"/>
      <c r="E13" s="40"/>
      <c r="F13" s="40"/>
    </row>
    <row r="14" spans="3:6">
      <c r="C14" s="40"/>
      <c r="D14" s="40"/>
      <c r="E14" s="40"/>
      <c r="F14" s="40"/>
    </row>
    <row r="15" spans="3:6">
      <c r="C15" s="40"/>
      <c r="D15" s="40"/>
      <c r="E15" s="40"/>
      <c r="F15" s="4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1" sqref="B1"/>
    </sheetView>
  </sheetViews>
  <sheetFormatPr defaultColWidth="8.75" defaultRowHeight="14" outlineLevelRow="3" outlineLevelCol="6"/>
  <cols>
    <col min="1" max="1" width="20.625" style="37" customWidth="1"/>
    <col min="2" max="3" width="22.625" style="37" customWidth="1"/>
    <col min="4" max="9" width="20.625" style="37" customWidth="1"/>
    <col min="10" max="16384" width="8.75" style="37"/>
  </cols>
  <sheetData>
    <row r="1" spans="1:7">
      <c r="A1" s="37" t="s">
        <v>26</v>
      </c>
      <c r="B1" s="28" t="s">
        <v>24</v>
      </c>
      <c r="C1" s="28" t="s">
        <v>24</v>
      </c>
      <c r="D1" s="28" t="s">
        <v>27</v>
      </c>
      <c r="E1" s="28" t="s">
        <v>27</v>
      </c>
      <c r="F1" s="54">
        <v>46080</v>
      </c>
      <c r="G1" s="54">
        <v>46080</v>
      </c>
    </row>
    <row r="2" spans="1:7">
      <c r="A2" s="37" t="s">
        <v>28</v>
      </c>
      <c r="B2" s="37" t="s">
        <v>2</v>
      </c>
      <c r="C2" s="37" t="s">
        <v>3</v>
      </c>
      <c r="D2" s="37" t="s">
        <v>2</v>
      </c>
      <c r="E2" s="37" t="s">
        <v>3</v>
      </c>
      <c r="F2" s="37" t="s">
        <v>2</v>
      </c>
      <c r="G2" s="37" t="s">
        <v>3</v>
      </c>
    </row>
    <row r="3" spans="1:7">
      <c r="A3" s="37" t="s">
        <v>29</v>
      </c>
      <c r="B3" s="37">
        <v>0.091</v>
      </c>
      <c r="C3" s="37">
        <v>1.027</v>
      </c>
      <c r="D3" s="37">
        <v>0.109</v>
      </c>
      <c r="E3" s="37">
        <v>1.108</v>
      </c>
      <c r="F3" s="37">
        <v>0.096</v>
      </c>
      <c r="G3" s="37">
        <v>1.035</v>
      </c>
    </row>
    <row r="4" spans="1:7">
      <c r="A4" s="37" t="s">
        <v>30</v>
      </c>
      <c r="B4" s="37">
        <v>0.028</v>
      </c>
      <c r="C4" s="37" t="s">
        <v>31</v>
      </c>
      <c r="D4" s="37">
        <v>0.025</v>
      </c>
      <c r="E4" s="37">
        <v>0.487</v>
      </c>
      <c r="F4" s="37">
        <v>0.021</v>
      </c>
      <c r="G4" s="37">
        <v>0.412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topLeftCell="A31" workbookViewId="0">
      <selection activeCell="B2" sqref="B2:C2"/>
    </sheetView>
  </sheetViews>
  <sheetFormatPr defaultColWidth="8.875" defaultRowHeight="14" outlineLevelCol="3"/>
  <cols>
    <col min="1" max="1" width="24.25" style="41" customWidth="1"/>
    <col min="2" max="3" width="11.625" style="42" customWidth="1"/>
    <col min="4" max="4" width="7.5" style="41" customWidth="1"/>
    <col min="5" max="6" width="8.875" style="41" customWidth="1"/>
    <col min="7" max="16384" width="8.875" style="41"/>
  </cols>
  <sheetData>
    <row r="1" spans="1:3">
      <c r="A1" s="43" t="s">
        <v>32</v>
      </c>
      <c r="B1" s="43" t="s">
        <v>3</v>
      </c>
      <c r="C1" s="43" t="s">
        <v>3</v>
      </c>
    </row>
    <row r="2" spans="1:4">
      <c r="A2" s="43" t="s">
        <v>0</v>
      </c>
      <c r="B2" s="45" t="s">
        <v>33</v>
      </c>
      <c r="C2" s="45" t="s">
        <v>34</v>
      </c>
      <c r="D2" s="41" t="s">
        <v>35</v>
      </c>
    </row>
    <row r="3" spans="1:4">
      <c r="A3" s="45" t="s">
        <v>36</v>
      </c>
      <c r="B3" s="45" t="s">
        <v>37</v>
      </c>
      <c r="C3" s="45" t="s">
        <v>38</v>
      </c>
      <c r="D3" s="51" t="s">
        <v>39</v>
      </c>
    </row>
    <row r="4" spans="1:4">
      <c r="A4" s="45" t="s">
        <v>40</v>
      </c>
      <c r="B4" s="45" t="s">
        <v>41</v>
      </c>
      <c r="C4" s="45" t="s">
        <v>42</v>
      </c>
      <c r="D4" s="51" t="s">
        <v>43</v>
      </c>
    </row>
    <row r="5" spans="1:4">
      <c r="A5" s="45" t="s">
        <v>44</v>
      </c>
      <c r="B5" s="45" t="s">
        <v>45</v>
      </c>
      <c r="C5" s="45" t="s">
        <v>46</v>
      </c>
      <c r="D5" s="51" t="s">
        <v>47</v>
      </c>
    </row>
    <row r="6" spans="1:4">
      <c r="A6" s="45" t="s">
        <v>48</v>
      </c>
      <c r="B6" s="45" t="s">
        <v>49</v>
      </c>
      <c r="C6" s="45" t="s">
        <v>50</v>
      </c>
      <c r="D6" s="51" t="s">
        <v>51</v>
      </c>
    </row>
    <row r="7" spans="1:4">
      <c r="A7" s="45" t="s">
        <v>52</v>
      </c>
      <c r="B7" s="45" t="s">
        <v>53</v>
      </c>
      <c r="C7" s="45" t="s">
        <v>54</v>
      </c>
      <c r="D7" s="51" t="s">
        <v>55</v>
      </c>
    </row>
    <row r="8" spans="1:4">
      <c r="A8" s="45" t="s">
        <v>56</v>
      </c>
      <c r="B8" s="45" t="s">
        <v>57</v>
      </c>
      <c r="C8" s="45" t="s">
        <v>58</v>
      </c>
      <c r="D8" s="51" t="s">
        <v>59</v>
      </c>
    </row>
    <row r="9" spans="1:4">
      <c r="A9" s="45" t="s">
        <v>60</v>
      </c>
      <c r="B9" s="45" t="s">
        <v>61</v>
      </c>
      <c r="C9" s="45" t="s">
        <v>62</v>
      </c>
      <c r="D9" s="51" t="s">
        <v>63</v>
      </c>
    </row>
    <row r="10" spans="1:4">
      <c r="A10" s="45" t="s">
        <v>64</v>
      </c>
      <c r="B10" s="45" t="s">
        <v>65</v>
      </c>
      <c r="C10" s="45" t="s">
        <v>66</v>
      </c>
      <c r="D10" s="51" t="s">
        <v>67</v>
      </c>
    </row>
    <row r="11" spans="1:4">
      <c r="A11" s="45" t="s">
        <v>68</v>
      </c>
      <c r="B11" s="45" t="s">
        <v>69</v>
      </c>
      <c r="C11" s="45" t="s">
        <v>70</v>
      </c>
      <c r="D11" s="51" t="s">
        <v>71</v>
      </c>
    </row>
    <row r="12" spans="1:4">
      <c r="A12" s="45" t="s">
        <v>72</v>
      </c>
      <c r="B12" s="45" t="s">
        <v>73</v>
      </c>
      <c r="C12" s="45" t="s">
        <v>74</v>
      </c>
      <c r="D12" s="51" t="s">
        <v>75</v>
      </c>
    </row>
    <row r="13" spans="1:4">
      <c r="A13" s="45" t="s">
        <v>76</v>
      </c>
      <c r="B13" s="45" t="s">
        <v>77</v>
      </c>
      <c r="C13" s="45" t="s">
        <v>78</v>
      </c>
      <c r="D13" s="51" t="s">
        <v>79</v>
      </c>
    </row>
    <row r="14" spans="1:4">
      <c r="A14" s="45" t="s">
        <v>80</v>
      </c>
      <c r="B14" s="45" t="s">
        <v>81</v>
      </c>
      <c r="C14" s="45" t="s">
        <v>82</v>
      </c>
      <c r="D14" s="51" t="s">
        <v>83</v>
      </c>
    </row>
    <row r="15" spans="1:4">
      <c r="A15" s="45" t="s">
        <v>84</v>
      </c>
      <c r="B15" s="45" t="s">
        <v>85</v>
      </c>
      <c r="C15" s="45" t="s">
        <v>86</v>
      </c>
      <c r="D15" s="51" t="s">
        <v>87</v>
      </c>
    </row>
    <row r="16" spans="1:4">
      <c r="A16" s="45" t="s">
        <v>88</v>
      </c>
      <c r="B16" s="45" t="s">
        <v>89</v>
      </c>
      <c r="C16" s="45" t="s">
        <v>90</v>
      </c>
      <c r="D16" s="51" t="s">
        <v>91</v>
      </c>
    </row>
    <row r="17" customFormat="1" spans="1:4">
      <c r="A17" s="33" t="s">
        <v>92</v>
      </c>
      <c r="B17" s="33" t="s">
        <v>93</v>
      </c>
      <c r="C17" s="33" t="s">
        <v>94</v>
      </c>
      <c r="D17" s="33" t="s">
        <v>95</v>
      </c>
    </row>
    <row r="18" spans="1:4">
      <c r="A18" s="45" t="s">
        <v>96</v>
      </c>
      <c r="B18" s="45" t="s">
        <v>97</v>
      </c>
      <c r="C18" s="45" t="s">
        <v>98</v>
      </c>
      <c r="D18" s="51" t="s">
        <v>99</v>
      </c>
    </row>
    <row r="19" spans="1:4">
      <c r="A19" s="45" t="s">
        <v>100</v>
      </c>
      <c r="B19" s="45" t="s">
        <v>101</v>
      </c>
      <c r="C19" s="45" t="s">
        <v>102</v>
      </c>
      <c r="D19" s="51" t="s">
        <v>103</v>
      </c>
    </row>
    <row r="20" spans="1:4">
      <c r="A20" s="45" t="s">
        <v>104</v>
      </c>
      <c r="B20" s="45" t="s">
        <v>105</v>
      </c>
      <c r="C20" s="45" t="s">
        <v>106</v>
      </c>
      <c r="D20" s="51" t="s">
        <v>107</v>
      </c>
    </row>
    <row r="21" spans="1:4">
      <c r="A21" s="45" t="s">
        <v>108</v>
      </c>
      <c r="B21" s="45" t="s">
        <v>109</v>
      </c>
      <c r="C21" s="45" t="s">
        <v>106</v>
      </c>
      <c r="D21" s="51" t="s">
        <v>110</v>
      </c>
    </row>
    <row r="22" spans="1:4">
      <c r="A22" s="45" t="s">
        <v>111</v>
      </c>
      <c r="B22" s="45" t="s">
        <v>112</v>
      </c>
      <c r="C22" s="45" t="s">
        <v>113</v>
      </c>
      <c r="D22" s="51" t="s">
        <v>114</v>
      </c>
    </row>
    <row r="23" spans="1:4">
      <c r="A23" s="45" t="s">
        <v>115</v>
      </c>
      <c r="B23" s="45" t="s">
        <v>116</v>
      </c>
      <c r="C23" s="45" t="s">
        <v>117</v>
      </c>
      <c r="D23" s="51" t="s">
        <v>118</v>
      </c>
    </row>
    <row r="24" customFormat="1" spans="1:4">
      <c r="A24" s="33" t="s">
        <v>119</v>
      </c>
      <c r="B24" s="33" t="s">
        <v>120</v>
      </c>
      <c r="C24" s="33" t="s">
        <v>121</v>
      </c>
      <c r="D24" s="33" t="s">
        <v>122</v>
      </c>
    </row>
    <row r="25" s="50" customFormat="1" spans="1:4">
      <c r="A25" s="52" t="s">
        <v>123</v>
      </c>
      <c r="B25" s="52" t="s">
        <v>124</v>
      </c>
      <c r="C25" s="52" t="s">
        <v>125</v>
      </c>
      <c r="D25" s="53" t="s">
        <v>126</v>
      </c>
    </row>
    <row r="26" spans="1:4">
      <c r="A26" s="45" t="s">
        <v>127</v>
      </c>
      <c r="B26" s="45" t="s">
        <v>128</v>
      </c>
      <c r="C26" s="45" t="s">
        <v>129</v>
      </c>
      <c r="D26" s="51" t="s">
        <v>130</v>
      </c>
    </row>
    <row r="27" spans="1:4">
      <c r="A27" s="45" t="s">
        <v>131</v>
      </c>
      <c r="B27" s="45" t="s">
        <v>132</v>
      </c>
      <c r="C27" s="45" t="s">
        <v>133</v>
      </c>
      <c r="D27" s="51" t="s">
        <v>134</v>
      </c>
    </row>
    <row r="28" spans="1:4">
      <c r="A28" s="45" t="s">
        <v>135</v>
      </c>
      <c r="B28" s="45" t="s">
        <v>136</v>
      </c>
      <c r="C28" s="45" t="s">
        <v>137</v>
      </c>
      <c r="D28" s="51" t="s">
        <v>138</v>
      </c>
    </row>
    <row r="29" spans="1:4">
      <c r="A29" s="45" t="s">
        <v>139</v>
      </c>
      <c r="B29" s="45" t="s">
        <v>140</v>
      </c>
      <c r="C29" s="45" t="s">
        <v>141</v>
      </c>
      <c r="D29" s="51" t="s">
        <v>142</v>
      </c>
    </row>
    <row r="30" spans="1:4">
      <c r="A30" s="45" t="s">
        <v>143</v>
      </c>
      <c r="B30" s="45" t="s">
        <v>144</v>
      </c>
      <c r="C30" s="45" t="s">
        <v>145</v>
      </c>
      <c r="D30" s="51" t="s">
        <v>146</v>
      </c>
    </row>
    <row r="31" spans="1:4">
      <c r="A31" s="45" t="s">
        <v>147</v>
      </c>
      <c r="B31" s="45" t="s">
        <v>148</v>
      </c>
      <c r="C31" s="45" t="s">
        <v>136</v>
      </c>
      <c r="D31" s="51" t="s">
        <v>149</v>
      </c>
    </row>
    <row r="32" spans="1:4">
      <c r="A32" s="45" t="s">
        <v>150</v>
      </c>
      <c r="B32" s="45" t="s">
        <v>151</v>
      </c>
      <c r="C32" s="45" t="s">
        <v>144</v>
      </c>
      <c r="D32" s="51" t="s">
        <v>152</v>
      </c>
    </row>
    <row r="33" spans="1:4">
      <c r="A33" s="45" t="s">
        <v>153</v>
      </c>
      <c r="B33" s="45" t="s">
        <v>154</v>
      </c>
      <c r="C33" s="45" t="s">
        <v>155</v>
      </c>
      <c r="D33" s="51" t="s">
        <v>156</v>
      </c>
    </row>
    <row r="34" spans="1:4">
      <c r="A34" s="45" t="s">
        <v>157</v>
      </c>
      <c r="B34" s="45" t="s">
        <v>158</v>
      </c>
      <c r="C34" s="45" t="s">
        <v>159</v>
      </c>
      <c r="D34" s="51" t="s">
        <v>160</v>
      </c>
    </row>
    <row r="35" spans="1:4">
      <c r="A35" s="45" t="s">
        <v>161</v>
      </c>
      <c r="B35" s="45" t="s">
        <v>162</v>
      </c>
      <c r="C35" s="45" t="s">
        <v>163</v>
      </c>
      <c r="D35" s="51" t="s">
        <v>164</v>
      </c>
    </row>
    <row r="36" spans="1:4">
      <c r="A36" s="45" t="s">
        <v>165</v>
      </c>
      <c r="B36" s="45" t="s">
        <v>166</v>
      </c>
      <c r="C36" s="45" t="s">
        <v>167</v>
      </c>
      <c r="D36" s="51" t="s">
        <v>168</v>
      </c>
    </row>
    <row r="37" spans="1:4">
      <c r="A37" s="45" t="s">
        <v>169</v>
      </c>
      <c r="B37" s="45" t="s">
        <v>170</v>
      </c>
      <c r="C37" s="45" t="s">
        <v>171</v>
      </c>
      <c r="D37" s="51" t="s">
        <v>172</v>
      </c>
    </row>
    <row r="38" spans="1:4">
      <c r="A38" s="45" t="s">
        <v>173</v>
      </c>
      <c r="B38" s="45" t="s">
        <v>174</v>
      </c>
      <c r="C38" s="45" t="s">
        <v>175</v>
      </c>
      <c r="D38" s="51" t="s">
        <v>176</v>
      </c>
    </row>
    <row r="39" spans="1:4">
      <c r="A39" s="45" t="s">
        <v>177</v>
      </c>
      <c r="B39" s="45" t="s">
        <v>178</v>
      </c>
      <c r="C39" s="45" t="s">
        <v>179</v>
      </c>
      <c r="D39" s="51" t="s">
        <v>126</v>
      </c>
    </row>
    <row r="40" spans="1:4">
      <c r="A40" s="45" t="s">
        <v>180</v>
      </c>
      <c r="B40" s="45" t="s">
        <v>181</v>
      </c>
      <c r="C40" s="45" t="s">
        <v>182</v>
      </c>
      <c r="D40" s="51" t="s">
        <v>183</v>
      </c>
    </row>
    <row r="41" spans="1:4">
      <c r="A41" s="45" t="s">
        <v>184</v>
      </c>
      <c r="B41" s="45" t="s">
        <v>185</v>
      </c>
      <c r="C41" s="45" t="s">
        <v>182</v>
      </c>
      <c r="D41" s="51" t="s">
        <v>186</v>
      </c>
    </row>
    <row r="42" spans="1:4">
      <c r="A42" s="45" t="s">
        <v>187</v>
      </c>
      <c r="B42" s="45" t="s">
        <v>188</v>
      </c>
      <c r="C42" s="45" t="s">
        <v>189</v>
      </c>
      <c r="D42" s="51" t="s">
        <v>190</v>
      </c>
    </row>
    <row r="43" spans="1:4">
      <c r="A43" s="45" t="s">
        <v>191</v>
      </c>
      <c r="B43" s="45" t="s">
        <v>192</v>
      </c>
      <c r="C43" s="45" t="s">
        <v>193</v>
      </c>
      <c r="D43" s="51" t="s">
        <v>83</v>
      </c>
    </row>
    <row r="44" spans="1:4">
      <c r="A44" s="45" t="s">
        <v>194</v>
      </c>
      <c r="B44" s="45" t="s">
        <v>195</v>
      </c>
      <c r="C44" s="45" t="s">
        <v>196</v>
      </c>
      <c r="D44" s="51" t="s">
        <v>197</v>
      </c>
    </row>
    <row r="45" spans="1:4">
      <c r="A45" s="45" t="s">
        <v>198</v>
      </c>
      <c r="B45" s="45" t="s">
        <v>199</v>
      </c>
      <c r="C45" s="45" t="s">
        <v>200</v>
      </c>
      <c r="D45" s="51" t="s">
        <v>201</v>
      </c>
    </row>
    <row r="46" spans="1:4">
      <c r="A46" s="45" t="s">
        <v>202</v>
      </c>
      <c r="B46" s="45" t="s">
        <v>203</v>
      </c>
      <c r="C46" s="45" t="s">
        <v>204</v>
      </c>
      <c r="D46" s="51" t="s">
        <v>205</v>
      </c>
    </row>
    <row r="47" spans="1:4">
      <c r="A47" s="45" t="s">
        <v>206</v>
      </c>
      <c r="B47" s="45" t="s">
        <v>207</v>
      </c>
      <c r="C47" s="45" t="s">
        <v>207</v>
      </c>
      <c r="D47" s="51" t="s">
        <v>208</v>
      </c>
    </row>
    <row r="48" spans="1:4">
      <c r="A48" s="45" t="s">
        <v>209</v>
      </c>
      <c r="B48" s="45" t="s">
        <v>210</v>
      </c>
      <c r="C48" s="45" t="s">
        <v>211</v>
      </c>
      <c r="D48" s="51" t="s">
        <v>212</v>
      </c>
    </row>
    <row r="49" spans="1:4">
      <c r="A49" s="45" t="s">
        <v>213</v>
      </c>
      <c r="B49" s="45" t="s">
        <v>214</v>
      </c>
      <c r="C49" s="45" t="s">
        <v>215</v>
      </c>
      <c r="D49" s="51" t="s">
        <v>216</v>
      </c>
    </row>
    <row r="50" spans="1:4">
      <c r="A50" s="45" t="s">
        <v>217</v>
      </c>
      <c r="B50" s="45" t="s">
        <v>218</v>
      </c>
      <c r="C50" s="45" t="s">
        <v>219</v>
      </c>
      <c r="D50" s="51" t="s">
        <v>220</v>
      </c>
    </row>
    <row r="51" spans="1:4">
      <c r="A51" s="45" t="s">
        <v>221</v>
      </c>
      <c r="B51" s="45" t="s">
        <v>222</v>
      </c>
      <c r="C51" s="45" t="s">
        <v>223</v>
      </c>
      <c r="D51" s="51" t="s">
        <v>224</v>
      </c>
    </row>
    <row r="52" spans="1:4">
      <c r="A52" s="45" t="s">
        <v>225</v>
      </c>
      <c r="B52" s="45" t="s">
        <v>226</v>
      </c>
      <c r="C52" s="45" t="s">
        <v>227</v>
      </c>
      <c r="D52" s="51" t="s">
        <v>228</v>
      </c>
    </row>
    <row r="53" spans="1:4">
      <c r="A53" s="45" t="s">
        <v>229</v>
      </c>
      <c r="B53" s="45" t="s">
        <v>230</v>
      </c>
      <c r="C53" s="45" t="s">
        <v>107</v>
      </c>
      <c r="D53" s="51" t="s">
        <v>231</v>
      </c>
    </row>
    <row r="54" spans="1:4">
      <c r="A54" s="45" t="s">
        <v>232</v>
      </c>
      <c r="B54" s="45" t="s">
        <v>233</v>
      </c>
      <c r="C54" s="45" t="s">
        <v>234</v>
      </c>
      <c r="D54" s="51" t="s">
        <v>168</v>
      </c>
    </row>
    <row r="55" spans="1:4">
      <c r="A55" s="45" t="s">
        <v>235</v>
      </c>
      <c r="B55" s="45" t="s">
        <v>236</v>
      </c>
      <c r="C55" s="45" t="s">
        <v>237</v>
      </c>
      <c r="D55" s="51" t="s">
        <v>238</v>
      </c>
    </row>
    <row r="56" spans="1:4">
      <c r="A56" s="45" t="s">
        <v>239</v>
      </c>
      <c r="B56" s="45" t="s">
        <v>210</v>
      </c>
      <c r="C56" s="45" t="s">
        <v>240</v>
      </c>
      <c r="D56" s="51" t="s">
        <v>241</v>
      </c>
    </row>
    <row r="57" spans="1:4">
      <c r="A57" s="45" t="s">
        <v>242</v>
      </c>
      <c r="B57" s="45" t="s">
        <v>243</v>
      </c>
      <c r="C57" s="45" t="s">
        <v>244</v>
      </c>
      <c r="D57" s="51" t="s">
        <v>245</v>
      </c>
    </row>
    <row r="58" spans="1:4">
      <c r="A58" s="45" t="s">
        <v>246</v>
      </c>
      <c r="B58" s="45" t="s">
        <v>222</v>
      </c>
      <c r="C58" s="45" t="s">
        <v>247</v>
      </c>
      <c r="D58" s="51" t="s">
        <v>248</v>
      </c>
    </row>
    <row r="59" spans="1:4">
      <c r="A59" s="45" t="s">
        <v>249</v>
      </c>
      <c r="B59" s="45" t="s">
        <v>250</v>
      </c>
      <c r="C59" s="45" t="s">
        <v>55</v>
      </c>
      <c r="D59" s="51" t="s">
        <v>251</v>
      </c>
    </row>
    <row r="60" spans="1:4">
      <c r="A60" s="45" t="s">
        <v>252</v>
      </c>
      <c r="B60" s="45" t="s">
        <v>253</v>
      </c>
      <c r="C60" s="45" t="s">
        <v>149</v>
      </c>
      <c r="D60" s="51" t="s">
        <v>254</v>
      </c>
    </row>
    <row r="61" spans="1:4">
      <c r="A61" s="45" t="s">
        <v>255</v>
      </c>
      <c r="B61" s="45" t="s">
        <v>212</v>
      </c>
      <c r="C61" s="45" t="s">
        <v>230</v>
      </c>
      <c r="D61" s="51" t="s">
        <v>256</v>
      </c>
    </row>
    <row r="62" spans="1:4">
      <c r="A62" s="45" t="s">
        <v>257</v>
      </c>
      <c r="B62" s="45" t="s">
        <v>258</v>
      </c>
      <c r="C62" s="45" t="s">
        <v>259</v>
      </c>
      <c r="D62" s="51" t="s">
        <v>260</v>
      </c>
    </row>
    <row r="63" spans="1:4">
      <c r="A63" s="45" t="s">
        <v>261</v>
      </c>
      <c r="B63" s="45" t="s">
        <v>262</v>
      </c>
      <c r="C63" s="45" t="s">
        <v>263</v>
      </c>
      <c r="D63" s="51" t="s">
        <v>264</v>
      </c>
    </row>
    <row r="64" spans="1:4">
      <c r="A64" s="45" t="s">
        <v>265</v>
      </c>
      <c r="B64" s="45" t="s">
        <v>266</v>
      </c>
      <c r="C64" s="45" t="s">
        <v>267</v>
      </c>
      <c r="D64" s="51" t="s">
        <v>268</v>
      </c>
    </row>
    <row r="65" spans="1:4">
      <c r="A65" s="45" t="s">
        <v>269</v>
      </c>
      <c r="B65" s="45" t="s">
        <v>270</v>
      </c>
      <c r="C65" s="45" t="s">
        <v>214</v>
      </c>
      <c r="D65" s="51" t="s">
        <v>110</v>
      </c>
    </row>
    <row r="66" spans="1:4">
      <c r="A66" s="45" t="s">
        <v>271</v>
      </c>
      <c r="B66" s="45" t="s">
        <v>272</v>
      </c>
      <c r="C66" s="45" t="s">
        <v>266</v>
      </c>
      <c r="D66" s="51" t="s">
        <v>273</v>
      </c>
    </row>
    <row r="67" spans="1:4">
      <c r="A67" s="45" t="s">
        <v>274</v>
      </c>
      <c r="B67" s="45" t="s">
        <v>275</v>
      </c>
      <c r="C67" s="45" t="s">
        <v>276</v>
      </c>
      <c r="D67" s="51" t="s">
        <v>277</v>
      </c>
    </row>
    <row r="68" spans="1:4">
      <c r="A68" s="45" t="s">
        <v>278</v>
      </c>
      <c r="B68" s="45" t="s">
        <v>279</v>
      </c>
      <c r="C68" s="45" t="s">
        <v>276</v>
      </c>
      <c r="D68" s="51" t="s">
        <v>280</v>
      </c>
    </row>
    <row r="69" spans="1:4">
      <c r="A69" s="45" t="s">
        <v>281</v>
      </c>
      <c r="B69" s="45" t="s">
        <v>282</v>
      </c>
      <c r="C69" s="45" t="s">
        <v>280</v>
      </c>
      <c r="D69" s="51" t="s">
        <v>283</v>
      </c>
    </row>
    <row r="70" spans="1:4">
      <c r="A70" s="45" t="s">
        <v>284</v>
      </c>
      <c r="B70" s="45" t="s">
        <v>87</v>
      </c>
      <c r="C70" s="45" t="s">
        <v>285</v>
      </c>
      <c r="D70" s="51" t="s">
        <v>286</v>
      </c>
    </row>
    <row r="71" spans="1:4">
      <c r="A71" s="45" t="s">
        <v>287</v>
      </c>
      <c r="B71" s="45" t="s">
        <v>288</v>
      </c>
      <c r="C71" s="45" t="s">
        <v>289</v>
      </c>
      <c r="D71" s="51" t="s">
        <v>122</v>
      </c>
    </row>
    <row r="72" spans="1:4">
      <c r="A72" s="45" t="s">
        <v>290</v>
      </c>
      <c r="B72" s="45" t="s">
        <v>254</v>
      </c>
      <c r="C72" s="45" t="s">
        <v>291</v>
      </c>
      <c r="D72" s="51" t="s">
        <v>292</v>
      </c>
    </row>
    <row r="73" spans="1:4">
      <c r="A73" s="45" t="s">
        <v>293</v>
      </c>
      <c r="B73" s="45" t="s">
        <v>294</v>
      </c>
      <c r="C73" s="45" t="s">
        <v>254</v>
      </c>
      <c r="D73" s="51" t="s">
        <v>295</v>
      </c>
    </row>
    <row r="74" spans="1:4">
      <c r="A74" s="45" t="s">
        <v>296</v>
      </c>
      <c r="B74" s="45" t="s">
        <v>122</v>
      </c>
      <c r="C74" s="45" t="s">
        <v>286</v>
      </c>
      <c r="D74" s="51" t="s">
        <v>297</v>
      </c>
    </row>
    <row r="75" spans="1:4">
      <c r="A75" s="45" t="s">
        <v>298</v>
      </c>
      <c r="B75" s="45" t="s">
        <v>299</v>
      </c>
      <c r="C75" s="45" t="s">
        <v>300</v>
      </c>
      <c r="D75" s="51" t="s">
        <v>301</v>
      </c>
    </row>
    <row r="76" spans="1:4">
      <c r="A76" s="45" t="s">
        <v>302</v>
      </c>
      <c r="B76" s="45" t="s">
        <v>208</v>
      </c>
      <c r="C76" s="45" t="s">
        <v>208</v>
      </c>
      <c r="D76" s="51" t="s">
        <v>208</v>
      </c>
    </row>
    <row r="77" spans="1:4">
      <c r="A77" s="45" t="s">
        <v>303</v>
      </c>
      <c r="B77" s="45" t="s">
        <v>208</v>
      </c>
      <c r="C77" s="45" t="s">
        <v>208</v>
      </c>
      <c r="D77" s="51" t="s">
        <v>208</v>
      </c>
    </row>
    <row r="78" spans="1:4">
      <c r="A78" s="45" t="s">
        <v>304</v>
      </c>
      <c r="B78" s="45" t="s">
        <v>208</v>
      </c>
      <c r="C78" s="45" t="s">
        <v>208</v>
      </c>
      <c r="D78" s="51" t="s">
        <v>208</v>
      </c>
    </row>
    <row r="79" spans="1:4">
      <c r="A79" s="45" t="s">
        <v>305</v>
      </c>
      <c r="B79" s="45" t="s">
        <v>208</v>
      </c>
      <c r="C79" s="45" t="s">
        <v>208</v>
      </c>
      <c r="D79" s="51" t="s">
        <v>208</v>
      </c>
    </row>
    <row r="80" spans="1:4">
      <c r="A80" s="45" t="s">
        <v>306</v>
      </c>
      <c r="B80" s="45" t="s">
        <v>208</v>
      </c>
      <c r="C80" s="45" t="s">
        <v>208</v>
      </c>
      <c r="D80" s="51" t="s">
        <v>208</v>
      </c>
    </row>
    <row r="81" spans="1:4">
      <c r="A81" s="45" t="s">
        <v>307</v>
      </c>
      <c r="B81" s="45" t="s">
        <v>208</v>
      </c>
      <c r="C81" s="45" t="s">
        <v>208</v>
      </c>
      <c r="D81" s="51" t="s">
        <v>208</v>
      </c>
    </row>
    <row r="82" spans="1:4">
      <c r="A82" s="45" t="s">
        <v>308</v>
      </c>
      <c r="B82" s="45" t="s">
        <v>208</v>
      </c>
      <c r="C82" s="45" t="s">
        <v>208</v>
      </c>
      <c r="D82" s="51" t="s">
        <v>208</v>
      </c>
    </row>
    <row r="83" spans="1:4">
      <c r="A83" s="45" t="s">
        <v>309</v>
      </c>
      <c r="B83" s="45" t="s">
        <v>208</v>
      </c>
      <c r="C83" s="45" t="s">
        <v>208</v>
      </c>
      <c r="D83" s="51" t="s">
        <v>208</v>
      </c>
    </row>
    <row r="84" spans="1:4">
      <c r="A84" s="45" t="s">
        <v>310</v>
      </c>
      <c r="B84" s="45" t="s">
        <v>208</v>
      </c>
      <c r="C84" s="45" t="s">
        <v>208</v>
      </c>
      <c r="D84" s="51" t="s">
        <v>208</v>
      </c>
    </row>
    <row r="85" spans="1:4">
      <c r="A85" s="45" t="s">
        <v>311</v>
      </c>
      <c r="B85" s="45" t="s">
        <v>208</v>
      </c>
      <c r="C85" s="45" t="s">
        <v>208</v>
      </c>
      <c r="D85" s="51" t="s">
        <v>208</v>
      </c>
    </row>
    <row r="86" spans="1:4">
      <c r="A86" s="45" t="s">
        <v>312</v>
      </c>
      <c r="B86" s="45" t="s">
        <v>208</v>
      </c>
      <c r="C86" s="45" t="s">
        <v>208</v>
      </c>
      <c r="D86" s="51" t="s">
        <v>208</v>
      </c>
    </row>
    <row r="87" spans="1:4">
      <c r="A87" s="45" t="s">
        <v>313</v>
      </c>
      <c r="B87" s="45" t="s">
        <v>208</v>
      </c>
      <c r="C87" s="45" t="s">
        <v>208</v>
      </c>
      <c r="D87" s="51" t="s">
        <v>208</v>
      </c>
    </row>
    <row r="88" spans="1:4">
      <c r="A88" s="51" t="s">
        <v>314</v>
      </c>
      <c r="B88" s="51" t="s">
        <v>208</v>
      </c>
      <c r="C88" s="51" t="s">
        <v>208</v>
      </c>
      <c r="D88" s="51" t="s">
        <v>208</v>
      </c>
    </row>
  </sheetData>
  <conditionalFormatting sqref="A1:D16 A18:D18 A20:D23 A25:D1048576">
    <cfRule type="expression" dxfId="0" priority="1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3" sqref="A3:C23"/>
    </sheetView>
  </sheetViews>
  <sheetFormatPr defaultColWidth="8.875" defaultRowHeight="14"/>
  <cols>
    <col min="1" max="1" width="24.875" style="41" customWidth="1"/>
    <col min="2" max="3" width="10" style="42" customWidth="1"/>
    <col min="4" max="5" width="8.875" style="41" customWidth="1"/>
    <col min="6" max="6" width="17.25" style="41" customWidth="1"/>
    <col min="7" max="8" width="8.875" style="41" customWidth="1"/>
    <col min="9" max="11" width="10.5" style="41" customWidth="1"/>
    <col min="12" max="12" width="8.875" style="41" customWidth="1"/>
    <col min="13" max="16384" width="8.875" style="41"/>
  </cols>
  <sheetData>
    <row r="1" spans="1:4">
      <c r="A1" s="43" t="s">
        <v>32</v>
      </c>
      <c r="B1" s="44" t="s">
        <v>3</v>
      </c>
      <c r="C1" s="44" t="s">
        <v>3</v>
      </c>
      <c r="D1" s="43"/>
    </row>
    <row r="2" spans="1:3">
      <c r="A2" s="43" t="s">
        <v>0</v>
      </c>
      <c r="B2" s="45" t="s">
        <v>33</v>
      </c>
      <c r="C2" s="45" t="s">
        <v>34</v>
      </c>
    </row>
    <row r="3" spans="1:10">
      <c r="A3" t="s">
        <v>315</v>
      </c>
      <c r="B3">
        <v>33.607</v>
      </c>
      <c r="C3">
        <v>33.656</v>
      </c>
      <c r="F3" s="40"/>
      <c r="G3" s="40"/>
      <c r="H3" s="40"/>
      <c r="I3" s="46"/>
      <c r="J3" s="47"/>
    </row>
    <row r="4" spans="1:10">
      <c r="A4" t="s">
        <v>36</v>
      </c>
      <c r="B4">
        <v>7.341</v>
      </c>
      <c r="C4">
        <v>7.047</v>
      </c>
      <c r="F4" s="40"/>
      <c r="G4" s="40"/>
      <c r="H4" s="40"/>
      <c r="I4" s="46"/>
      <c r="J4" s="47"/>
    </row>
    <row r="5" spans="1:8">
      <c r="A5" t="s">
        <v>40</v>
      </c>
      <c r="B5">
        <v>4.676</v>
      </c>
      <c r="C5">
        <v>5.612</v>
      </c>
      <c r="F5" s="40"/>
      <c r="G5" s="40"/>
      <c r="H5" s="40"/>
    </row>
    <row r="6" spans="1:8">
      <c r="A6" t="s">
        <v>44</v>
      </c>
      <c r="B6">
        <v>3.774</v>
      </c>
      <c r="C6">
        <v>3.679</v>
      </c>
      <c r="F6" s="40"/>
      <c r="G6" s="40"/>
      <c r="H6" s="40"/>
    </row>
    <row r="7" spans="1:11">
      <c r="A7" t="s">
        <v>48</v>
      </c>
      <c r="B7">
        <v>2.867</v>
      </c>
      <c r="C7">
        <v>2.958</v>
      </c>
      <c r="F7" s="40"/>
      <c r="G7" s="40"/>
      <c r="H7" s="40"/>
      <c r="I7" s="48"/>
      <c r="J7" s="48"/>
      <c r="K7" s="48"/>
    </row>
    <row r="8" spans="1:11">
      <c r="A8" t="s">
        <v>52</v>
      </c>
      <c r="B8">
        <v>2.506</v>
      </c>
      <c r="C8">
        <v>2.605</v>
      </c>
      <c r="F8" s="40"/>
      <c r="G8" s="40"/>
      <c r="H8" s="40"/>
      <c r="I8" s="48"/>
      <c r="J8" s="49"/>
      <c r="K8" s="49"/>
    </row>
    <row r="9" spans="1:11">
      <c r="A9" t="s">
        <v>64</v>
      </c>
      <c r="B9">
        <v>2.491</v>
      </c>
      <c r="C9">
        <v>2.231</v>
      </c>
      <c r="F9" s="40"/>
      <c r="G9" s="40"/>
      <c r="H9" s="40"/>
      <c r="I9" s="48"/>
      <c r="J9" s="48"/>
      <c r="K9" s="48"/>
    </row>
    <row r="10" spans="1:8">
      <c r="A10" t="s">
        <v>68</v>
      </c>
      <c r="B10">
        <v>2.422</v>
      </c>
      <c r="C10">
        <v>2.22</v>
      </c>
      <c r="F10" s="40"/>
      <c r="G10" s="40"/>
      <c r="H10" s="40"/>
    </row>
    <row r="11" spans="1:8">
      <c r="A11" t="s">
        <v>80</v>
      </c>
      <c r="B11">
        <v>1.347</v>
      </c>
      <c r="C11">
        <v>1.338</v>
      </c>
      <c r="F11" s="40"/>
      <c r="G11" s="40"/>
      <c r="H11" s="40"/>
    </row>
    <row r="12" spans="1:8">
      <c r="A12" t="s">
        <v>92</v>
      </c>
      <c r="B12">
        <v>0.962</v>
      </c>
      <c r="C12">
        <v>0.959</v>
      </c>
      <c r="F12" s="40"/>
      <c r="G12" s="40"/>
      <c r="H12" s="40"/>
    </row>
    <row r="13" customFormat="1" spans="1:8">
      <c r="A13" t="s">
        <v>100</v>
      </c>
      <c r="B13">
        <v>0.772</v>
      </c>
      <c r="C13">
        <v>0.829</v>
      </c>
      <c r="F13" s="40"/>
      <c r="G13" s="40"/>
      <c r="H13" s="40"/>
    </row>
    <row r="14" spans="1:8">
      <c r="A14" t="s">
        <v>111</v>
      </c>
      <c r="B14">
        <v>0.794</v>
      </c>
      <c r="C14">
        <v>0.762</v>
      </c>
      <c r="F14" s="40"/>
      <c r="G14" s="40"/>
      <c r="H14" s="40"/>
    </row>
    <row r="15" spans="1:8">
      <c r="A15" t="s">
        <v>119</v>
      </c>
      <c r="B15">
        <v>0.644</v>
      </c>
      <c r="C15">
        <v>0.664</v>
      </c>
      <c r="F15" s="40"/>
      <c r="G15" s="40"/>
      <c r="H15" s="40"/>
    </row>
    <row r="16" spans="1:8">
      <c r="A16" t="s">
        <v>123</v>
      </c>
      <c r="B16">
        <v>0.732</v>
      </c>
      <c r="C16">
        <v>0.653</v>
      </c>
      <c r="F16" s="40"/>
      <c r="G16" s="40"/>
      <c r="H16" s="40"/>
    </row>
    <row r="17" spans="1:8">
      <c r="A17" t="s">
        <v>143</v>
      </c>
      <c r="B17">
        <v>0.507</v>
      </c>
      <c r="C17">
        <v>0.524</v>
      </c>
      <c r="F17" s="40"/>
      <c r="G17" s="40"/>
      <c r="H17" s="40"/>
    </row>
    <row r="18" spans="1:8">
      <c r="A18" t="s">
        <v>153</v>
      </c>
      <c r="B18">
        <v>0.511</v>
      </c>
      <c r="C18">
        <v>0.476</v>
      </c>
      <c r="F18" s="40"/>
      <c r="G18" s="40"/>
      <c r="H18" s="40"/>
    </row>
    <row r="19" spans="1:8">
      <c r="A19" t="s">
        <v>157</v>
      </c>
      <c r="B19">
        <v>0.484</v>
      </c>
      <c r="C19">
        <v>0.448</v>
      </c>
      <c r="F19" s="40"/>
      <c r="G19" s="40"/>
      <c r="H19" s="40"/>
    </row>
    <row r="20" spans="1:8">
      <c r="A20" t="s">
        <v>161</v>
      </c>
      <c r="B20">
        <v>0.616</v>
      </c>
      <c r="C20">
        <v>0.443</v>
      </c>
      <c r="F20" s="40"/>
      <c r="G20" s="40"/>
      <c r="H20" s="40"/>
    </row>
    <row r="21" spans="1:8">
      <c r="A21" t="s">
        <v>235</v>
      </c>
      <c r="B21">
        <v>0.086</v>
      </c>
      <c r="C21">
        <v>0.124</v>
      </c>
      <c r="F21" s="40"/>
      <c r="G21" s="40"/>
      <c r="H21" s="40"/>
    </row>
    <row r="22" spans="1:8">
      <c r="A22" t="s">
        <v>271</v>
      </c>
      <c r="B22">
        <v>0.049</v>
      </c>
      <c r="C22">
        <v>0.045</v>
      </c>
      <c r="F22" s="40"/>
      <c r="G22" s="40"/>
      <c r="H22" s="40"/>
    </row>
    <row r="23" spans="1:8">
      <c r="A23" t="s">
        <v>284</v>
      </c>
      <c r="B23">
        <v>0.026</v>
      </c>
      <c r="C23">
        <v>0.039</v>
      </c>
      <c r="F23" s="40"/>
      <c r="G23" s="40"/>
      <c r="H23" s="40"/>
    </row>
  </sheetData>
  <conditionalFormatting sqref="B2:C2">
    <cfRule type="expression" dxfId="0" priority="1">
      <formula>$A2="CCTV-17农业农村"</formula>
    </cfRule>
  </conditionalFormatting>
  <conditionalFormatting sqref="A1:C1 A2 A24:C1048576">
    <cfRule type="expression" dxfId="0" priority="5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42"/>
  <sheetViews>
    <sheetView workbookViewId="0">
      <selection activeCell="B2" sqref="B2:C2"/>
    </sheetView>
  </sheetViews>
  <sheetFormatPr defaultColWidth="9" defaultRowHeight="14"/>
  <cols>
    <col min="1" max="1" width="9.875" style="31" customWidth="1"/>
    <col min="2" max="2" width="22.875" style="30" customWidth="1"/>
    <col min="3" max="3" width="11" style="30" customWidth="1"/>
    <col min="4" max="4" width="12.625" style="30" customWidth="1"/>
    <col min="5" max="5" width="10" style="30" customWidth="1"/>
    <col min="6" max="6" width="13.375" customWidth="1"/>
    <col min="7" max="7" width="14.125" customWidth="1"/>
    <col min="8" max="15" width="9" style="30"/>
    <col min="16" max="16" width="3.75" style="30" customWidth="1"/>
    <col min="17" max="17" width="13.5" style="30" customWidth="1"/>
    <col min="18" max="18" width="11" style="30" customWidth="1"/>
    <col min="19" max="19" width="13.5" style="30" customWidth="1"/>
    <col min="20" max="16382" width="9" style="30"/>
  </cols>
  <sheetData>
    <row r="1" spans="1:7">
      <c r="A1" s="28" t="s">
        <v>32</v>
      </c>
      <c r="B1" s="37" t="s">
        <v>2</v>
      </c>
      <c r="C1" s="37" t="s">
        <v>2</v>
      </c>
      <c r="D1" s="37" t="s">
        <v>3</v>
      </c>
      <c r="E1" s="37" t="s">
        <v>3</v>
      </c>
      <c r="F1" t="s">
        <v>316</v>
      </c>
      <c r="G1" t="s">
        <v>316</v>
      </c>
    </row>
    <row r="2" spans="1:22">
      <c r="A2" s="28"/>
      <c r="B2" s="28" t="s">
        <v>24</v>
      </c>
      <c r="C2" s="28" t="s">
        <v>317</v>
      </c>
      <c r="D2" s="28" t="s">
        <v>24</v>
      </c>
      <c r="E2" s="28" t="s">
        <v>317</v>
      </c>
      <c r="F2" s="28" t="s">
        <v>24</v>
      </c>
      <c r="G2" s="28" t="s">
        <v>317</v>
      </c>
      <c r="Q2" s="28"/>
      <c r="R2" s="28"/>
      <c r="S2" s="28"/>
      <c r="T2" s="28"/>
      <c r="U2" s="28"/>
      <c r="V2" s="28"/>
    </row>
    <row r="3" spans="1:15">
      <c r="A3" s="28" t="s">
        <v>318</v>
      </c>
      <c r="B3" s="37">
        <v>0.001</v>
      </c>
      <c r="C3" s="37">
        <v>0</v>
      </c>
      <c r="D3" s="37">
        <v>0.1</v>
      </c>
      <c r="E3" s="37">
        <v>0</v>
      </c>
      <c r="F3">
        <v>0.0121</v>
      </c>
      <c r="G3">
        <v>0.5857</v>
      </c>
      <c r="I3" s="38"/>
      <c r="J3" s="39"/>
      <c r="K3" s="39"/>
      <c r="L3" s="39"/>
      <c r="M3" s="39"/>
      <c r="N3" s="40"/>
      <c r="O3" s="40"/>
    </row>
    <row r="4" spans="1:15">
      <c r="A4" s="28" t="s">
        <v>319</v>
      </c>
      <c r="B4" s="37">
        <v>0.001</v>
      </c>
      <c r="C4" s="37">
        <v>0</v>
      </c>
      <c r="D4" s="37">
        <v>0.097</v>
      </c>
      <c r="E4" s="37">
        <v>0</v>
      </c>
      <c r="F4">
        <v>0.0123</v>
      </c>
      <c r="G4">
        <v>0.5979</v>
      </c>
      <c r="I4" s="38"/>
      <c r="J4" s="39"/>
      <c r="K4" s="39"/>
      <c r="L4" s="39"/>
      <c r="M4" s="39"/>
      <c r="N4" s="40"/>
      <c r="O4" s="40"/>
    </row>
    <row r="5" spans="1:15">
      <c r="A5" s="28" t="s">
        <v>320</v>
      </c>
      <c r="B5" s="37">
        <v>0.001</v>
      </c>
      <c r="C5" s="37">
        <v>0</v>
      </c>
      <c r="D5" s="37">
        <v>0.101</v>
      </c>
      <c r="E5" s="37">
        <v>0</v>
      </c>
      <c r="F5">
        <v>0.0124</v>
      </c>
      <c r="G5">
        <v>0.5862</v>
      </c>
      <c r="I5" s="38"/>
      <c r="J5" s="39"/>
      <c r="K5" s="39"/>
      <c r="L5" s="39"/>
      <c r="M5" s="39"/>
      <c r="N5" s="40"/>
      <c r="O5" s="40"/>
    </row>
    <row r="6" spans="1:15">
      <c r="A6" s="28" t="s">
        <v>321</v>
      </c>
      <c r="B6" s="37">
        <v>0.001</v>
      </c>
      <c r="C6" s="37">
        <v>0</v>
      </c>
      <c r="D6" s="37">
        <v>0.092</v>
      </c>
      <c r="E6" s="37">
        <v>0</v>
      </c>
      <c r="F6">
        <v>0.0124</v>
      </c>
      <c r="G6">
        <v>0.593</v>
      </c>
      <c r="I6" s="38"/>
      <c r="J6" s="39"/>
      <c r="K6" s="39"/>
      <c r="L6" s="39"/>
      <c r="M6" s="39"/>
      <c r="N6" s="40"/>
      <c r="O6" s="40"/>
    </row>
    <row r="7" spans="1:15">
      <c r="A7" s="28" t="s">
        <v>322</v>
      </c>
      <c r="B7" s="37">
        <v>0.001</v>
      </c>
      <c r="C7" s="37">
        <v>0</v>
      </c>
      <c r="D7" s="37">
        <v>0.093</v>
      </c>
      <c r="E7" s="37">
        <v>0</v>
      </c>
      <c r="F7">
        <v>0.0123</v>
      </c>
      <c r="G7">
        <v>0.5861</v>
      </c>
      <c r="I7" s="38"/>
      <c r="J7" s="39"/>
      <c r="K7" s="39"/>
      <c r="L7" s="39"/>
      <c r="M7" s="39"/>
      <c r="N7" s="40"/>
      <c r="O7" s="40"/>
    </row>
    <row r="8" spans="1:15">
      <c r="A8" s="28" t="s">
        <v>323</v>
      </c>
      <c r="B8" s="37">
        <v>0</v>
      </c>
      <c r="C8" s="37">
        <v>0</v>
      </c>
      <c r="D8" s="37">
        <v>0.07</v>
      </c>
      <c r="E8" s="37">
        <v>0</v>
      </c>
      <c r="F8">
        <v>0.0124</v>
      </c>
      <c r="G8">
        <v>0.5861</v>
      </c>
      <c r="I8" s="38"/>
      <c r="J8" s="39"/>
      <c r="K8" s="39"/>
      <c r="L8" s="39"/>
      <c r="M8" s="39"/>
      <c r="N8" s="40"/>
      <c r="O8" s="40"/>
    </row>
    <row r="9" spans="1:15">
      <c r="A9" s="28" t="s">
        <v>324</v>
      </c>
      <c r="B9" s="37">
        <v>0</v>
      </c>
      <c r="C9" s="37">
        <v>0</v>
      </c>
      <c r="D9" s="37">
        <v>0.071</v>
      </c>
      <c r="E9" s="37">
        <v>0</v>
      </c>
      <c r="F9">
        <v>0.0124</v>
      </c>
      <c r="G9">
        <v>0.5876</v>
      </c>
      <c r="I9" s="38"/>
      <c r="J9" s="39"/>
      <c r="K9" s="39"/>
      <c r="L9" s="39"/>
      <c r="M9" s="39"/>
      <c r="N9" s="40"/>
      <c r="O9" s="40"/>
    </row>
    <row r="10" spans="1:15">
      <c r="A10" s="28" t="s">
        <v>325</v>
      </c>
      <c r="B10" s="37">
        <v>0</v>
      </c>
      <c r="C10" s="37">
        <v>0</v>
      </c>
      <c r="D10" s="37">
        <v>0.071</v>
      </c>
      <c r="E10" s="37">
        <v>0</v>
      </c>
      <c r="F10">
        <v>0.0124</v>
      </c>
      <c r="G10">
        <v>0.5619</v>
      </c>
      <c r="I10" s="38"/>
      <c r="J10" s="39"/>
      <c r="K10" s="39"/>
      <c r="L10" s="39"/>
      <c r="M10" s="39"/>
      <c r="N10" s="40"/>
      <c r="O10" s="40"/>
    </row>
    <row r="11" spans="1:15">
      <c r="A11" s="28" t="s">
        <v>326</v>
      </c>
      <c r="B11" s="37">
        <v>0.001</v>
      </c>
      <c r="C11" s="37">
        <v>0</v>
      </c>
      <c r="D11" s="37">
        <v>0.092</v>
      </c>
      <c r="E11" s="37">
        <v>0</v>
      </c>
      <c r="F11">
        <v>0.0122</v>
      </c>
      <c r="G11">
        <v>0.5434</v>
      </c>
      <c r="I11" s="38"/>
      <c r="J11" s="39"/>
      <c r="K11" s="39"/>
      <c r="L11" s="39"/>
      <c r="M11" s="39"/>
      <c r="N11" s="40"/>
      <c r="O11" s="40"/>
    </row>
    <row r="12" spans="1:15">
      <c r="A12" s="28" t="s">
        <v>327</v>
      </c>
      <c r="B12" s="37">
        <v>0.001</v>
      </c>
      <c r="C12" s="37">
        <v>0</v>
      </c>
      <c r="D12" s="37">
        <v>0.093</v>
      </c>
      <c r="E12" s="37">
        <v>0</v>
      </c>
      <c r="F12">
        <v>0.0122</v>
      </c>
      <c r="G12">
        <v>0.5434</v>
      </c>
      <c r="I12" s="38"/>
      <c r="J12" s="39"/>
      <c r="K12" s="39"/>
      <c r="L12" s="39"/>
      <c r="M12" s="39"/>
      <c r="N12" s="40"/>
      <c r="O12" s="40"/>
    </row>
    <row r="13" spans="1:15">
      <c r="A13" s="28" t="s">
        <v>328</v>
      </c>
      <c r="B13" s="37">
        <v>0.001</v>
      </c>
      <c r="C13" s="37">
        <v>0</v>
      </c>
      <c r="D13" s="37">
        <v>0.094</v>
      </c>
      <c r="E13" s="37">
        <v>0</v>
      </c>
      <c r="F13">
        <v>0.0121</v>
      </c>
      <c r="G13">
        <v>0.545</v>
      </c>
      <c r="I13" s="38"/>
      <c r="J13" s="39"/>
      <c r="K13" s="39"/>
      <c r="L13" s="39"/>
      <c r="M13" s="39"/>
      <c r="N13" s="40"/>
      <c r="O13" s="40"/>
    </row>
    <row r="14" spans="1:15">
      <c r="A14" s="28" t="s">
        <v>329</v>
      </c>
      <c r="B14" s="37">
        <v>0.001</v>
      </c>
      <c r="C14" s="37">
        <v>0</v>
      </c>
      <c r="D14" s="37">
        <v>0.094</v>
      </c>
      <c r="E14" s="37">
        <v>0</v>
      </c>
      <c r="F14">
        <v>0.012</v>
      </c>
      <c r="G14">
        <v>0.5446</v>
      </c>
      <c r="I14" s="38"/>
      <c r="J14" s="39"/>
      <c r="K14" s="39"/>
      <c r="L14" s="39"/>
      <c r="M14" s="39"/>
      <c r="N14" s="40"/>
      <c r="O14" s="40"/>
    </row>
    <row r="15" spans="1:15">
      <c r="A15" s="28" t="s">
        <v>330</v>
      </c>
      <c r="B15" s="37">
        <v>0.001</v>
      </c>
      <c r="C15" s="37">
        <v>0</v>
      </c>
      <c r="D15" s="37">
        <v>0.095</v>
      </c>
      <c r="E15" s="37">
        <v>0</v>
      </c>
      <c r="F15">
        <v>0.012</v>
      </c>
      <c r="G15">
        <v>0.5466</v>
      </c>
      <c r="I15" s="38"/>
      <c r="J15" s="39"/>
      <c r="K15" s="39"/>
      <c r="L15" s="39"/>
      <c r="M15" s="39"/>
      <c r="N15" s="40"/>
      <c r="O15" s="40"/>
    </row>
    <row r="16" spans="1:15">
      <c r="A16" s="28" t="s">
        <v>331</v>
      </c>
      <c r="B16" s="37">
        <v>0.001</v>
      </c>
      <c r="C16" s="37">
        <v>0</v>
      </c>
      <c r="D16" s="37">
        <v>0.096</v>
      </c>
      <c r="E16" s="37">
        <v>0</v>
      </c>
      <c r="F16">
        <v>0.0119</v>
      </c>
      <c r="G16">
        <v>0.5466</v>
      </c>
      <c r="I16" s="38"/>
      <c r="J16" s="39"/>
      <c r="K16" s="39"/>
      <c r="L16" s="39"/>
      <c r="M16" s="39"/>
      <c r="N16" s="40"/>
      <c r="O16" s="40"/>
    </row>
    <row r="17" spans="1:15">
      <c r="A17" s="28" t="s">
        <v>332</v>
      </c>
      <c r="B17" s="37">
        <v>0.001</v>
      </c>
      <c r="C17" s="37">
        <v>0</v>
      </c>
      <c r="D17" s="37">
        <v>0.096</v>
      </c>
      <c r="E17" s="37">
        <v>0</v>
      </c>
      <c r="F17">
        <v>0.0119</v>
      </c>
      <c r="G17">
        <v>0.5466</v>
      </c>
      <c r="I17" s="38"/>
      <c r="J17" s="39"/>
      <c r="K17" s="39"/>
      <c r="L17" s="39"/>
      <c r="M17" s="39"/>
      <c r="N17" s="40"/>
      <c r="O17" s="40"/>
    </row>
    <row r="18" spans="1:15">
      <c r="A18" s="28" t="s">
        <v>333</v>
      </c>
      <c r="B18" s="37">
        <v>0.001</v>
      </c>
      <c r="C18" s="37">
        <v>0</v>
      </c>
      <c r="D18" s="37">
        <v>0.103</v>
      </c>
      <c r="E18" s="37">
        <v>0</v>
      </c>
      <c r="F18">
        <v>0.012</v>
      </c>
      <c r="G18">
        <v>0.5453</v>
      </c>
      <c r="I18" s="38"/>
      <c r="J18" s="39"/>
      <c r="K18" s="39"/>
      <c r="L18" s="39"/>
      <c r="M18" s="39"/>
      <c r="N18" s="40"/>
      <c r="O18" s="40"/>
    </row>
    <row r="19" spans="1:15">
      <c r="A19" s="28" t="s">
        <v>334</v>
      </c>
      <c r="B19" s="37">
        <v>0.001</v>
      </c>
      <c r="C19" s="37">
        <v>0</v>
      </c>
      <c r="D19" s="37">
        <v>0.103</v>
      </c>
      <c r="E19" s="37">
        <v>0</v>
      </c>
      <c r="F19">
        <v>0.0119</v>
      </c>
      <c r="G19">
        <v>0.5584</v>
      </c>
      <c r="I19" s="38"/>
      <c r="J19" s="39"/>
      <c r="K19" s="39"/>
      <c r="L19" s="39"/>
      <c r="M19" s="39"/>
      <c r="N19" s="40"/>
      <c r="O19" s="40"/>
    </row>
    <row r="20" spans="1:15">
      <c r="A20" s="28" t="s">
        <v>335</v>
      </c>
      <c r="B20" s="37">
        <v>0.001</v>
      </c>
      <c r="C20" s="37">
        <v>0</v>
      </c>
      <c r="D20" s="37">
        <v>0.104</v>
      </c>
      <c r="E20" s="37">
        <v>0</v>
      </c>
      <c r="F20">
        <v>0.012</v>
      </c>
      <c r="G20">
        <v>0.5584</v>
      </c>
      <c r="I20" s="38"/>
      <c r="J20" s="39"/>
      <c r="K20" s="39"/>
      <c r="L20" s="39"/>
      <c r="M20" s="39"/>
      <c r="N20" s="40"/>
      <c r="O20" s="40"/>
    </row>
    <row r="21" spans="1:15">
      <c r="A21" s="28" t="s">
        <v>336</v>
      </c>
      <c r="B21" s="37">
        <v>0.001</v>
      </c>
      <c r="C21" s="37">
        <v>0</v>
      </c>
      <c r="D21" s="37">
        <v>0.106</v>
      </c>
      <c r="E21" s="37">
        <v>0</v>
      </c>
      <c r="F21">
        <v>0.0118</v>
      </c>
      <c r="G21">
        <v>0.5453</v>
      </c>
      <c r="I21" s="38"/>
      <c r="J21" s="39"/>
      <c r="K21" s="39"/>
      <c r="L21" s="39"/>
      <c r="M21" s="39"/>
      <c r="N21" s="40"/>
      <c r="O21" s="40"/>
    </row>
    <row r="22" spans="1:15">
      <c r="A22" s="28" t="s">
        <v>337</v>
      </c>
      <c r="B22" s="37">
        <v>0.001</v>
      </c>
      <c r="C22" s="37">
        <v>0</v>
      </c>
      <c r="D22" s="37">
        <v>0.107</v>
      </c>
      <c r="E22" s="37">
        <v>0</v>
      </c>
      <c r="F22">
        <v>0.0119</v>
      </c>
      <c r="G22">
        <v>0.5439</v>
      </c>
      <c r="I22" s="38"/>
      <c r="J22" s="39"/>
      <c r="K22" s="39"/>
      <c r="L22" s="39"/>
      <c r="M22" s="39"/>
      <c r="N22" s="40"/>
      <c r="O22" s="40"/>
    </row>
    <row r="23" spans="1:15">
      <c r="A23" s="28" t="s">
        <v>338</v>
      </c>
      <c r="B23" s="37">
        <v>0.001</v>
      </c>
      <c r="C23" s="37">
        <v>0</v>
      </c>
      <c r="D23" s="37">
        <v>0.108</v>
      </c>
      <c r="E23" s="37">
        <v>0</v>
      </c>
      <c r="F23">
        <v>0.0117</v>
      </c>
      <c r="G23">
        <v>0.5394</v>
      </c>
      <c r="I23" s="38"/>
      <c r="J23" s="39"/>
      <c r="K23" s="39"/>
      <c r="L23" s="39"/>
      <c r="M23" s="39"/>
      <c r="N23" s="40"/>
      <c r="O23" s="40"/>
    </row>
    <row r="24" spans="1:15">
      <c r="A24" s="28" t="s">
        <v>339</v>
      </c>
      <c r="B24" s="37">
        <v>0.001</v>
      </c>
      <c r="C24" s="37">
        <v>0</v>
      </c>
      <c r="D24" s="37">
        <v>0.102</v>
      </c>
      <c r="E24" s="37">
        <v>0</v>
      </c>
      <c r="F24">
        <v>0.0118</v>
      </c>
      <c r="G24">
        <v>0.5394</v>
      </c>
      <c r="I24" s="38"/>
      <c r="J24" s="39"/>
      <c r="K24" s="39"/>
      <c r="L24" s="39"/>
      <c r="M24" s="39"/>
      <c r="N24" s="40"/>
      <c r="O24" s="40"/>
    </row>
    <row r="25" spans="1:15">
      <c r="A25" s="28" t="s">
        <v>340</v>
      </c>
      <c r="B25" s="37">
        <v>0.001</v>
      </c>
      <c r="C25" s="37">
        <v>0</v>
      </c>
      <c r="D25" s="37">
        <v>0.104</v>
      </c>
      <c r="E25" s="37">
        <v>0</v>
      </c>
      <c r="F25">
        <v>0.0117</v>
      </c>
      <c r="G25">
        <v>0.5477</v>
      </c>
      <c r="I25" s="38"/>
      <c r="J25" s="39"/>
      <c r="K25" s="39"/>
      <c r="L25" s="39"/>
      <c r="M25" s="39"/>
      <c r="N25" s="40"/>
      <c r="O25" s="40"/>
    </row>
    <row r="26" spans="1:15">
      <c r="A26" s="28" t="s">
        <v>341</v>
      </c>
      <c r="B26" s="37">
        <v>0</v>
      </c>
      <c r="C26" s="37">
        <v>0</v>
      </c>
      <c r="D26" s="37">
        <v>0.081</v>
      </c>
      <c r="E26" s="37">
        <v>0</v>
      </c>
      <c r="F26">
        <v>0.0117</v>
      </c>
      <c r="G26">
        <v>0.5295</v>
      </c>
      <c r="I26" s="38"/>
      <c r="J26" s="39"/>
      <c r="K26" s="39"/>
      <c r="L26" s="39"/>
      <c r="M26" s="39"/>
      <c r="N26" s="40"/>
      <c r="O26" s="40"/>
    </row>
    <row r="27" spans="1:15">
      <c r="A27" s="28" t="s">
        <v>342</v>
      </c>
      <c r="B27" s="37">
        <v>0</v>
      </c>
      <c r="C27" s="37">
        <v>0</v>
      </c>
      <c r="D27" s="37">
        <v>0</v>
      </c>
      <c r="E27" s="37">
        <v>0</v>
      </c>
      <c r="F27">
        <v>0.0117</v>
      </c>
      <c r="G27">
        <v>0.5167</v>
      </c>
      <c r="I27" s="38"/>
      <c r="J27" s="39"/>
      <c r="K27" s="39"/>
      <c r="L27" s="39"/>
      <c r="M27" s="39"/>
      <c r="N27" s="40"/>
      <c r="O27" s="40"/>
    </row>
    <row r="28" spans="1:15">
      <c r="A28" s="28" t="s">
        <v>343</v>
      </c>
      <c r="B28" s="37">
        <v>0</v>
      </c>
      <c r="C28" s="37">
        <v>0</v>
      </c>
      <c r="D28" s="37">
        <v>0.006</v>
      </c>
      <c r="E28" s="37">
        <v>0</v>
      </c>
      <c r="F28">
        <v>0.0117</v>
      </c>
      <c r="G28">
        <v>0.5039</v>
      </c>
      <c r="I28" s="38"/>
      <c r="J28" s="39"/>
      <c r="K28" s="39"/>
      <c r="L28" s="39"/>
      <c r="M28" s="39"/>
      <c r="N28" s="40"/>
      <c r="O28" s="40"/>
    </row>
    <row r="29" spans="1:15">
      <c r="A29" s="28" t="s">
        <v>344</v>
      </c>
      <c r="B29" s="37">
        <v>0</v>
      </c>
      <c r="C29" s="37">
        <v>0</v>
      </c>
      <c r="D29" s="37">
        <v>0.006</v>
      </c>
      <c r="E29" s="37">
        <v>0</v>
      </c>
      <c r="F29">
        <v>0.0117</v>
      </c>
      <c r="G29">
        <v>0.5157</v>
      </c>
      <c r="I29" s="38"/>
      <c r="J29" s="39"/>
      <c r="K29" s="39"/>
      <c r="L29" s="39"/>
      <c r="M29" s="39"/>
      <c r="N29" s="40"/>
      <c r="O29" s="40"/>
    </row>
    <row r="30" spans="1:15">
      <c r="A30" s="28" t="s">
        <v>345</v>
      </c>
      <c r="B30" s="37">
        <v>0</v>
      </c>
      <c r="C30" s="37">
        <v>0</v>
      </c>
      <c r="D30" s="37">
        <v>0.025</v>
      </c>
      <c r="E30" s="37">
        <v>0</v>
      </c>
      <c r="F30">
        <v>0.0118</v>
      </c>
      <c r="G30">
        <v>0.527</v>
      </c>
      <c r="I30" s="38"/>
      <c r="J30" s="39"/>
      <c r="K30" s="39"/>
      <c r="L30" s="39"/>
      <c r="M30" s="39"/>
      <c r="N30" s="40"/>
      <c r="O30" s="40"/>
    </row>
    <row r="31" spans="1:15">
      <c r="A31" s="28" t="s">
        <v>346</v>
      </c>
      <c r="B31" s="37">
        <v>0</v>
      </c>
      <c r="C31" s="37">
        <v>0</v>
      </c>
      <c r="D31" s="37">
        <v>0.018</v>
      </c>
      <c r="E31" s="37">
        <v>0</v>
      </c>
      <c r="F31">
        <v>0.0117</v>
      </c>
      <c r="G31">
        <v>0.5225</v>
      </c>
      <c r="I31" s="38"/>
      <c r="J31" s="39"/>
      <c r="K31" s="39"/>
      <c r="L31" s="39"/>
      <c r="M31" s="39"/>
      <c r="N31" s="40"/>
      <c r="O31" s="40"/>
    </row>
    <row r="32" spans="1:15">
      <c r="A32" s="28" t="s">
        <v>347</v>
      </c>
      <c r="B32" s="37">
        <v>0</v>
      </c>
      <c r="C32" s="37">
        <v>0</v>
      </c>
      <c r="D32" s="37">
        <v>0.008</v>
      </c>
      <c r="E32" s="37">
        <v>0</v>
      </c>
      <c r="F32">
        <v>0.0116</v>
      </c>
      <c r="G32">
        <v>0.5119</v>
      </c>
      <c r="I32" s="38"/>
      <c r="J32" s="39"/>
      <c r="K32" s="39"/>
      <c r="L32" s="39"/>
      <c r="M32" s="39"/>
      <c r="N32" s="40"/>
      <c r="O32" s="40"/>
    </row>
    <row r="33" spans="1:15">
      <c r="A33" s="28" t="s">
        <v>348</v>
      </c>
      <c r="B33" s="37">
        <v>0</v>
      </c>
      <c r="C33" s="37">
        <v>0</v>
      </c>
      <c r="D33" s="37">
        <v>0.008</v>
      </c>
      <c r="E33" s="37">
        <v>0</v>
      </c>
      <c r="F33">
        <v>0.0115</v>
      </c>
      <c r="G33">
        <v>0.5</v>
      </c>
      <c r="I33" s="38"/>
      <c r="J33" s="39"/>
      <c r="K33" s="39"/>
      <c r="L33" s="39"/>
      <c r="M33" s="39"/>
      <c r="N33" s="40"/>
      <c r="O33" s="40"/>
    </row>
    <row r="34" spans="1:15">
      <c r="A34" s="28" t="s">
        <v>349</v>
      </c>
      <c r="B34" s="37">
        <v>0</v>
      </c>
      <c r="C34" s="37">
        <v>0</v>
      </c>
      <c r="D34" s="37">
        <v>0.008</v>
      </c>
      <c r="E34" s="37">
        <v>0</v>
      </c>
      <c r="F34">
        <v>0.0115</v>
      </c>
      <c r="G34">
        <v>0.4972</v>
      </c>
      <c r="I34" s="38"/>
      <c r="J34" s="39"/>
      <c r="K34" s="39"/>
      <c r="L34" s="39"/>
      <c r="M34" s="39"/>
      <c r="N34" s="40"/>
      <c r="O34" s="40"/>
    </row>
    <row r="35" spans="1:15">
      <c r="A35" s="28" t="s">
        <v>350</v>
      </c>
      <c r="B35" s="37">
        <v>0</v>
      </c>
      <c r="C35" s="37">
        <v>0</v>
      </c>
      <c r="D35" s="37">
        <v>0.038</v>
      </c>
      <c r="E35" s="37">
        <v>0</v>
      </c>
      <c r="F35">
        <v>0.0115</v>
      </c>
      <c r="G35">
        <v>0.4964</v>
      </c>
      <c r="I35" s="38"/>
      <c r="J35" s="39"/>
      <c r="K35" s="39"/>
      <c r="L35" s="39"/>
      <c r="M35" s="39"/>
      <c r="N35" s="40"/>
      <c r="O35" s="40"/>
    </row>
    <row r="36" spans="1:15">
      <c r="A36" s="28" t="s">
        <v>351</v>
      </c>
      <c r="B36" s="37">
        <v>0</v>
      </c>
      <c r="C36" s="37">
        <v>0</v>
      </c>
      <c r="D36" s="37">
        <v>0</v>
      </c>
      <c r="E36" s="37">
        <v>0</v>
      </c>
      <c r="F36">
        <v>0.0115</v>
      </c>
      <c r="G36">
        <v>0.4945</v>
      </c>
      <c r="I36" s="38"/>
      <c r="J36" s="39"/>
      <c r="K36" s="39"/>
      <c r="L36" s="39"/>
      <c r="M36" s="39"/>
      <c r="N36" s="40"/>
      <c r="O36" s="40"/>
    </row>
    <row r="37" spans="1:15">
      <c r="A37" s="28" t="s">
        <v>352</v>
      </c>
      <c r="B37" s="37">
        <v>0</v>
      </c>
      <c r="C37" s="37">
        <v>0</v>
      </c>
      <c r="D37" s="37">
        <v>0</v>
      </c>
      <c r="E37" s="37">
        <v>0</v>
      </c>
      <c r="F37">
        <v>0.0114</v>
      </c>
      <c r="G37">
        <v>0.4947</v>
      </c>
      <c r="I37" s="38"/>
      <c r="J37" s="39"/>
      <c r="K37" s="39"/>
      <c r="L37" s="39"/>
      <c r="M37" s="39"/>
      <c r="N37" s="40"/>
      <c r="O37" s="40"/>
    </row>
    <row r="38" spans="1:15">
      <c r="A38" s="28" t="s">
        <v>353</v>
      </c>
      <c r="B38" s="37">
        <v>0</v>
      </c>
      <c r="C38" s="37">
        <v>0</v>
      </c>
      <c r="D38" s="37">
        <v>0.043</v>
      </c>
      <c r="E38" s="37">
        <v>0</v>
      </c>
      <c r="F38">
        <v>0.0113</v>
      </c>
      <c r="G38">
        <v>0.4878</v>
      </c>
      <c r="I38" s="38"/>
      <c r="J38" s="39"/>
      <c r="K38" s="39"/>
      <c r="L38" s="39"/>
      <c r="M38" s="39"/>
      <c r="N38" s="40"/>
      <c r="O38" s="40"/>
    </row>
    <row r="39" spans="1:15">
      <c r="A39" s="28" t="s">
        <v>354</v>
      </c>
      <c r="B39" s="37">
        <v>0</v>
      </c>
      <c r="C39" s="37">
        <v>0</v>
      </c>
      <c r="D39" s="37">
        <v>0.039</v>
      </c>
      <c r="E39" s="37">
        <v>0</v>
      </c>
      <c r="F39">
        <v>0.0112</v>
      </c>
      <c r="G39">
        <v>0.4715</v>
      </c>
      <c r="I39" s="38"/>
      <c r="J39" s="39"/>
      <c r="K39" s="39"/>
      <c r="L39" s="39"/>
      <c r="M39" s="39"/>
      <c r="N39" s="40"/>
      <c r="O39" s="40"/>
    </row>
    <row r="40" spans="1:15">
      <c r="A40" s="28" t="s">
        <v>355</v>
      </c>
      <c r="B40" s="37">
        <v>0</v>
      </c>
      <c r="C40" s="37">
        <v>0</v>
      </c>
      <c r="D40" s="37">
        <v>0.033</v>
      </c>
      <c r="E40" s="37">
        <v>0</v>
      </c>
      <c r="F40">
        <v>0.0111</v>
      </c>
      <c r="G40">
        <v>0.4715</v>
      </c>
      <c r="I40" s="38"/>
      <c r="J40" s="39"/>
      <c r="K40" s="39"/>
      <c r="L40" s="39"/>
      <c r="M40" s="39"/>
      <c r="N40" s="40"/>
      <c r="O40" s="40"/>
    </row>
    <row r="41" spans="1:15">
      <c r="A41" s="28" t="s">
        <v>356</v>
      </c>
      <c r="B41" s="37">
        <v>0</v>
      </c>
      <c r="C41" s="37">
        <v>0</v>
      </c>
      <c r="D41" s="37">
        <v>0.033</v>
      </c>
      <c r="E41" s="37">
        <v>0</v>
      </c>
      <c r="F41">
        <v>0.0111</v>
      </c>
      <c r="G41">
        <v>0.4792</v>
      </c>
      <c r="I41" s="38"/>
      <c r="J41" s="39"/>
      <c r="K41" s="39"/>
      <c r="L41" s="39"/>
      <c r="M41" s="39"/>
      <c r="N41" s="40"/>
      <c r="O41" s="40"/>
    </row>
    <row r="42" spans="1:15">
      <c r="A42" s="28" t="s">
        <v>357</v>
      </c>
      <c r="B42" s="37">
        <v>0</v>
      </c>
      <c r="C42" s="37">
        <v>0</v>
      </c>
      <c r="D42" s="37">
        <v>0</v>
      </c>
      <c r="E42" s="37">
        <v>0</v>
      </c>
      <c r="F42">
        <v>0.0111</v>
      </c>
      <c r="G42">
        <v>0.4813</v>
      </c>
      <c r="I42" s="38"/>
      <c r="J42" s="39"/>
      <c r="K42" s="39"/>
      <c r="L42" s="39"/>
      <c r="M42" s="39"/>
      <c r="N42" s="40"/>
      <c r="O42" s="40"/>
    </row>
    <row r="43" spans="1:15">
      <c r="A43" s="28" t="s">
        <v>358</v>
      </c>
      <c r="B43" s="37">
        <v>0</v>
      </c>
      <c r="C43" s="37">
        <v>0</v>
      </c>
      <c r="D43" s="37">
        <v>0.033</v>
      </c>
      <c r="E43" s="37">
        <v>0</v>
      </c>
      <c r="F43">
        <v>0.0112</v>
      </c>
      <c r="G43">
        <v>0.4799</v>
      </c>
      <c r="I43" s="38"/>
      <c r="J43" s="39"/>
      <c r="K43" s="39"/>
      <c r="L43" s="39"/>
      <c r="M43" s="39"/>
      <c r="N43" s="40"/>
      <c r="O43" s="40"/>
    </row>
    <row r="44" spans="1:15">
      <c r="A44" s="28" t="s">
        <v>359</v>
      </c>
      <c r="B44" s="37">
        <v>0</v>
      </c>
      <c r="C44" s="37">
        <v>0</v>
      </c>
      <c r="D44" s="37">
        <v>0</v>
      </c>
      <c r="E44" s="37">
        <v>0</v>
      </c>
      <c r="F44">
        <v>0.0112</v>
      </c>
      <c r="G44">
        <v>0.475</v>
      </c>
      <c r="I44" s="38"/>
      <c r="J44" s="39"/>
      <c r="K44" s="39"/>
      <c r="L44" s="39"/>
      <c r="M44" s="39"/>
      <c r="N44" s="40"/>
      <c r="O44" s="40"/>
    </row>
    <row r="45" spans="1:15">
      <c r="A45" s="28" t="s">
        <v>360</v>
      </c>
      <c r="B45" s="37">
        <v>0</v>
      </c>
      <c r="C45" s="37">
        <v>0</v>
      </c>
      <c r="D45" s="37">
        <v>0</v>
      </c>
      <c r="E45" s="37">
        <v>0</v>
      </c>
      <c r="F45">
        <v>0.0112</v>
      </c>
      <c r="G45">
        <v>0.475</v>
      </c>
      <c r="I45" s="38"/>
      <c r="J45" s="39"/>
      <c r="K45" s="39"/>
      <c r="L45" s="39"/>
      <c r="M45" s="39"/>
      <c r="N45" s="40"/>
      <c r="O45" s="40"/>
    </row>
    <row r="46" spans="1:15">
      <c r="A46" s="28" t="s">
        <v>361</v>
      </c>
      <c r="B46" s="37">
        <v>0</v>
      </c>
      <c r="C46" s="37">
        <v>0</v>
      </c>
      <c r="D46" s="37">
        <v>0</v>
      </c>
      <c r="E46" s="37">
        <v>0</v>
      </c>
      <c r="F46">
        <v>0.0113</v>
      </c>
      <c r="G46">
        <v>0.4708</v>
      </c>
      <c r="I46" s="38"/>
      <c r="J46" s="39"/>
      <c r="K46" s="39"/>
      <c r="L46" s="39"/>
      <c r="M46" s="39"/>
      <c r="N46" s="40"/>
      <c r="O46" s="40"/>
    </row>
    <row r="47" spans="1:15">
      <c r="A47" s="28" t="s">
        <v>362</v>
      </c>
      <c r="B47" s="37">
        <v>0</v>
      </c>
      <c r="C47" s="37">
        <v>0</v>
      </c>
      <c r="D47" s="37">
        <v>0</v>
      </c>
      <c r="E47" s="37">
        <v>0</v>
      </c>
      <c r="F47">
        <v>0.0112</v>
      </c>
      <c r="G47">
        <v>0.4702</v>
      </c>
      <c r="I47" s="38"/>
      <c r="J47" s="39"/>
      <c r="K47" s="39"/>
      <c r="L47" s="39"/>
      <c r="M47" s="39"/>
      <c r="N47" s="40"/>
      <c r="O47" s="40"/>
    </row>
    <row r="48" spans="1:15">
      <c r="A48" s="28" t="s">
        <v>363</v>
      </c>
      <c r="B48" s="37">
        <v>0</v>
      </c>
      <c r="C48" s="37">
        <v>0</v>
      </c>
      <c r="D48" s="37">
        <v>0</v>
      </c>
      <c r="E48" s="37">
        <v>0</v>
      </c>
      <c r="F48">
        <v>0.0111</v>
      </c>
      <c r="G48">
        <v>0.4702</v>
      </c>
      <c r="I48" s="38"/>
      <c r="J48" s="39"/>
      <c r="K48" s="39"/>
      <c r="L48" s="39"/>
      <c r="M48" s="39"/>
      <c r="N48" s="40"/>
      <c r="O48" s="40"/>
    </row>
    <row r="49" spans="1:15">
      <c r="A49" s="28" t="s">
        <v>364</v>
      </c>
      <c r="B49" s="37">
        <v>0</v>
      </c>
      <c r="C49" s="37">
        <v>0</v>
      </c>
      <c r="D49" s="37">
        <v>0</v>
      </c>
      <c r="E49" s="37">
        <v>0</v>
      </c>
      <c r="F49">
        <v>0.0111</v>
      </c>
      <c r="G49">
        <v>0.4702</v>
      </c>
      <c r="I49" s="38"/>
      <c r="J49" s="39"/>
      <c r="K49" s="39"/>
      <c r="L49" s="39"/>
      <c r="M49" s="39"/>
      <c r="N49" s="40"/>
      <c r="O49" s="40"/>
    </row>
    <row r="50" spans="1:15">
      <c r="A50" s="28" t="s">
        <v>365</v>
      </c>
      <c r="B50" s="37">
        <v>0</v>
      </c>
      <c r="C50" s="37">
        <v>0</v>
      </c>
      <c r="D50" s="37">
        <v>0.006</v>
      </c>
      <c r="E50" s="37">
        <v>0</v>
      </c>
      <c r="F50">
        <v>0.011</v>
      </c>
      <c r="G50">
        <v>0.4702</v>
      </c>
      <c r="I50" s="38"/>
      <c r="J50" s="39"/>
      <c r="K50" s="39"/>
      <c r="L50" s="39"/>
      <c r="M50" s="39"/>
      <c r="N50" s="40"/>
      <c r="O50" s="40"/>
    </row>
    <row r="51" spans="1:15">
      <c r="A51" s="28" t="s">
        <v>366</v>
      </c>
      <c r="B51" s="37">
        <v>0</v>
      </c>
      <c r="C51" s="37">
        <v>0</v>
      </c>
      <c r="D51" s="37">
        <v>0.017</v>
      </c>
      <c r="E51" s="37">
        <v>0</v>
      </c>
      <c r="F51">
        <v>0.011</v>
      </c>
      <c r="G51">
        <v>0.4702</v>
      </c>
      <c r="I51" s="38"/>
      <c r="J51" s="39"/>
      <c r="K51" s="39"/>
      <c r="L51" s="39"/>
      <c r="M51" s="39"/>
      <c r="N51" s="40"/>
      <c r="O51" s="40"/>
    </row>
    <row r="52" spans="1:15">
      <c r="A52" s="28" t="s">
        <v>367</v>
      </c>
      <c r="B52" s="37">
        <v>0</v>
      </c>
      <c r="C52" s="37">
        <v>0</v>
      </c>
      <c r="D52" s="37">
        <v>0.017</v>
      </c>
      <c r="E52" s="37">
        <v>0</v>
      </c>
      <c r="F52">
        <v>0.0109</v>
      </c>
      <c r="G52">
        <v>0.4639</v>
      </c>
      <c r="I52" s="38"/>
      <c r="J52" s="39"/>
      <c r="K52" s="39"/>
      <c r="L52" s="39"/>
      <c r="M52" s="39"/>
      <c r="N52" s="40"/>
      <c r="O52" s="40"/>
    </row>
    <row r="53" spans="1:15">
      <c r="A53" s="28" t="s">
        <v>368</v>
      </c>
      <c r="B53" s="37">
        <v>0</v>
      </c>
      <c r="C53" s="37">
        <v>0</v>
      </c>
      <c r="D53" s="37">
        <v>0</v>
      </c>
      <c r="E53" s="37">
        <v>0</v>
      </c>
      <c r="F53">
        <v>0.0109</v>
      </c>
      <c r="G53">
        <v>0.4639</v>
      </c>
      <c r="I53" s="38"/>
      <c r="J53" s="39"/>
      <c r="K53" s="39"/>
      <c r="L53" s="39"/>
      <c r="M53" s="39"/>
      <c r="N53" s="40"/>
      <c r="O53" s="40"/>
    </row>
    <row r="54" spans="1:15">
      <c r="A54" s="28" t="s">
        <v>369</v>
      </c>
      <c r="B54" s="37">
        <v>0</v>
      </c>
      <c r="C54" s="37">
        <v>0</v>
      </c>
      <c r="D54" s="37">
        <v>0</v>
      </c>
      <c r="E54" s="37">
        <v>0</v>
      </c>
      <c r="F54">
        <v>0.0108</v>
      </c>
      <c r="G54">
        <v>0.4586</v>
      </c>
      <c r="I54" s="38"/>
      <c r="J54" s="39"/>
      <c r="K54" s="39"/>
      <c r="L54" s="39"/>
      <c r="M54" s="39"/>
      <c r="N54" s="40"/>
      <c r="O54" s="40"/>
    </row>
    <row r="55" spans="1:15">
      <c r="A55" s="28" t="s">
        <v>370</v>
      </c>
      <c r="B55" s="37">
        <v>0</v>
      </c>
      <c r="C55" s="37">
        <v>0</v>
      </c>
      <c r="D55" s="37">
        <v>0</v>
      </c>
      <c r="E55" s="37">
        <v>0</v>
      </c>
      <c r="F55">
        <v>0.0109</v>
      </c>
      <c r="G55">
        <v>0.4598</v>
      </c>
      <c r="I55" s="38"/>
      <c r="J55" s="39"/>
      <c r="K55" s="39"/>
      <c r="L55" s="39"/>
      <c r="M55" s="39"/>
      <c r="N55" s="40"/>
      <c r="O55" s="40"/>
    </row>
    <row r="56" spans="1:15">
      <c r="A56" s="28" t="s">
        <v>371</v>
      </c>
      <c r="B56" s="37">
        <v>0</v>
      </c>
      <c r="C56" s="37">
        <v>0</v>
      </c>
      <c r="D56" s="37">
        <v>0</v>
      </c>
      <c r="E56" s="37">
        <v>0</v>
      </c>
      <c r="F56">
        <v>0.0109</v>
      </c>
      <c r="G56">
        <v>0.4598</v>
      </c>
      <c r="I56" s="38"/>
      <c r="J56" s="39"/>
      <c r="K56" s="39"/>
      <c r="L56" s="39"/>
      <c r="M56" s="39"/>
      <c r="N56" s="40"/>
      <c r="O56" s="40"/>
    </row>
    <row r="57" spans="1:15">
      <c r="A57" s="28" t="s">
        <v>372</v>
      </c>
      <c r="B57" s="37">
        <v>0</v>
      </c>
      <c r="C57" s="37">
        <v>0</v>
      </c>
      <c r="D57" s="37">
        <v>0</v>
      </c>
      <c r="E57" s="37">
        <v>0</v>
      </c>
      <c r="F57">
        <v>0.0109</v>
      </c>
      <c r="G57">
        <v>0.4529</v>
      </c>
      <c r="I57" s="38"/>
      <c r="J57" s="39"/>
      <c r="K57" s="39"/>
      <c r="L57" s="39"/>
      <c r="M57" s="39"/>
      <c r="N57" s="40"/>
      <c r="O57" s="40"/>
    </row>
    <row r="58" spans="1:15">
      <c r="A58" s="28" t="s">
        <v>373</v>
      </c>
      <c r="B58" s="37">
        <v>0</v>
      </c>
      <c r="C58" s="37">
        <v>0</v>
      </c>
      <c r="D58" s="37">
        <v>0</v>
      </c>
      <c r="E58" s="37">
        <v>0</v>
      </c>
      <c r="F58">
        <v>0.0109</v>
      </c>
      <c r="G58">
        <v>0.4477</v>
      </c>
      <c r="I58" s="38"/>
      <c r="J58" s="39"/>
      <c r="K58" s="39"/>
      <c r="L58" s="39"/>
      <c r="M58" s="39"/>
      <c r="N58" s="40"/>
      <c r="O58" s="40"/>
    </row>
    <row r="59" spans="1:15">
      <c r="A59" s="28" t="s">
        <v>374</v>
      </c>
      <c r="B59" s="37">
        <v>0</v>
      </c>
      <c r="C59" s="37">
        <v>0</v>
      </c>
      <c r="D59" s="37">
        <v>0</v>
      </c>
      <c r="E59" s="37">
        <v>0</v>
      </c>
      <c r="F59">
        <v>0.0109</v>
      </c>
      <c r="G59">
        <v>0.4532</v>
      </c>
      <c r="I59" s="38"/>
      <c r="J59" s="39"/>
      <c r="K59" s="39"/>
      <c r="L59" s="39"/>
      <c r="M59" s="39"/>
      <c r="N59" s="40"/>
      <c r="O59" s="40"/>
    </row>
    <row r="60" spans="1:15">
      <c r="A60" s="28" t="s">
        <v>375</v>
      </c>
      <c r="B60" s="37">
        <v>0</v>
      </c>
      <c r="C60" s="37">
        <v>0</v>
      </c>
      <c r="D60" s="37">
        <v>0</v>
      </c>
      <c r="E60" s="37">
        <v>0</v>
      </c>
      <c r="F60">
        <v>0.0109</v>
      </c>
      <c r="G60">
        <v>0.4532</v>
      </c>
      <c r="I60" s="38"/>
      <c r="J60" s="39"/>
      <c r="K60" s="39"/>
      <c r="L60" s="39"/>
      <c r="M60" s="39"/>
      <c r="N60" s="40"/>
      <c r="O60" s="40"/>
    </row>
    <row r="61" spans="1:15">
      <c r="A61" s="28" t="s">
        <v>376</v>
      </c>
      <c r="B61" s="37">
        <v>0</v>
      </c>
      <c r="C61" s="37">
        <v>0</v>
      </c>
      <c r="D61" s="37">
        <v>0</v>
      </c>
      <c r="E61" s="37">
        <v>0</v>
      </c>
      <c r="F61">
        <v>0.0109</v>
      </c>
      <c r="G61">
        <v>0.454</v>
      </c>
      <c r="I61" s="38"/>
      <c r="J61" s="39"/>
      <c r="K61" s="39"/>
      <c r="L61" s="39"/>
      <c r="M61" s="39"/>
      <c r="N61" s="40"/>
      <c r="O61" s="40"/>
    </row>
    <row r="62" spans="1:15">
      <c r="A62" s="28" t="s">
        <v>377</v>
      </c>
      <c r="B62" s="37">
        <v>0</v>
      </c>
      <c r="C62" s="37">
        <v>0</v>
      </c>
      <c r="D62" s="37">
        <v>0</v>
      </c>
      <c r="E62" s="37">
        <v>0</v>
      </c>
      <c r="F62">
        <v>0.0108</v>
      </c>
      <c r="G62">
        <v>0.4474</v>
      </c>
      <c r="I62" s="38"/>
      <c r="J62" s="39"/>
      <c r="K62" s="39"/>
      <c r="L62" s="39"/>
      <c r="M62" s="39"/>
      <c r="N62" s="40"/>
      <c r="O62" s="40"/>
    </row>
    <row r="63" spans="1:15">
      <c r="A63" s="28" t="s">
        <v>378</v>
      </c>
      <c r="B63" s="37">
        <v>0</v>
      </c>
      <c r="C63" s="37">
        <v>0</v>
      </c>
      <c r="D63" s="37">
        <v>0</v>
      </c>
      <c r="E63" s="37">
        <v>0</v>
      </c>
      <c r="F63">
        <v>0.0108</v>
      </c>
      <c r="G63">
        <v>0.4459</v>
      </c>
      <c r="I63" s="38"/>
      <c r="J63" s="39"/>
      <c r="K63" s="39"/>
      <c r="L63" s="39"/>
      <c r="M63" s="39"/>
      <c r="N63" s="40"/>
      <c r="O63" s="40"/>
    </row>
    <row r="64" spans="1:15">
      <c r="A64" s="28" t="s">
        <v>379</v>
      </c>
      <c r="B64" s="37">
        <v>0</v>
      </c>
      <c r="C64" s="37">
        <v>0</v>
      </c>
      <c r="D64" s="37">
        <v>0</v>
      </c>
      <c r="E64" s="37">
        <v>0</v>
      </c>
      <c r="F64">
        <v>0.0108</v>
      </c>
      <c r="G64">
        <v>0.4446</v>
      </c>
      <c r="I64" s="38"/>
      <c r="J64" s="39"/>
      <c r="K64" s="39"/>
      <c r="L64" s="39"/>
      <c r="M64" s="39"/>
      <c r="N64" s="40"/>
      <c r="O64" s="40"/>
    </row>
    <row r="65" spans="1:15">
      <c r="A65" s="28" t="s">
        <v>380</v>
      </c>
      <c r="B65" s="37">
        <v>0</v>
      </c>
      <c r="C65" s="37">
        <v>0</v>
      </c>
      <c r="D65" s="37">
        <v>0.01</v>
      </c>
      <c r="E65" s="37">
        <v>0</v>
      </c>
      <c r="F65">
        <v>0.0107</v>
      </c>
      <c r="G65">
        <v>0.447</v>
      </c>
      <c r="I65" s="38"/>
      <c r="J65" s="39"/>
      <c r="K65" s="39"/>
      <c r="L65" s="39"/>
      <c r="M65" s="39"/>
      <c r="N65" s="40"/>
      <c r="O65" s="40"/>
    </row>
    <row r="66" spans="1:15">
      <c r="A66" s="28" t="s">
        <v>381</v>
      </c>
      <c r="B66" s="37">
        <v>0</v>
      </c>
      <c r="C66" s="37">
        <v>0</v>
      </c>
      <c r="D66" s="37">
        <v>0.022</v>
      </c>
      <c r="E66" s="37">
        <v>0</v>
      </c>
      <c r="F66">
        <v>0.0108</v>
      </c>
      <c r="G66">
        <v>0.447</v>
      </c>
      <c r="I66" s="38"/>
      <c r="J66" s="39"/>
      <c r="K66" s="39"/>
      <c r="L66" s="39"/>
      <c r="M66" s="39"/>
      <c r="N66" s="40"/>
      <c r="O66" s="40"/>
    </row>
    <row r="67" spans="1:15">
      <c r="A67" s="28" t="s">
        <v>382</v>
      </c>
      <c r="B67" s="37">
        <v>0</v>
      </c>
      <c r="C67" s="37">
        <v>0</v>
      </c>
      <c r="D67" s="37">
        <v>0.022</v>
      </c>
      <c r="E67" s="37">
        <v>0</v>
      </c>
      <c r="F67">
        <v>0.0107</v>
      </c>
      <c r="G67">
        <v>0.447</v>
      </c>
      <c r="I67" s="38"/>
      <c r="J67" s="39"/>
      <c r="K67" s="39"/>
      <c r="L67" s="39"/>
      <c r="M67" s="39"/>
      <c r="N67" s="40"/>
      <c r="O67" s="40"/>
    </row>
    <row r="68" spans="1:15">
      <c r="A68" s="28" t="s">
        <v>383</v>
      </c>
      <c r="B68" s="37">
        <v>0</v>
      </c>
      <c r="C68" s="37">
        <v>0</v>
      </c>
      <c r="D68" s="37">
        <v>0.022</v>
      </c>
      <c r="E68" s="37">
        <v>0</v>
      </c>
      <c r="F68">
        <v>0.0106</v>
      </c>
      <c r="G68">
        <v>0.4426</v>
      </c>
      <c r="I68" s="38"/>
      <c r="J68" s="39"/>
      <c r="K68" s="39"/>
      <c r="L68" s="39"/>
      <c r="M68" s="39"/>
      <c r="N68" s="40"/>
      <c r="O68" s="40"/>
    </row>
    <row r="69" spans="1:15">
      <c r="A69" s="28" t="s">
        <v>384</v>
      </c>
      <c r="B69" s="37">
        <v>0</v>
      </c>
      <c r="C69" s="37">
        <v>0</v>
      </c>
      <c r="D69" s="37">
        <v>0.01</v>
      </c>
      <c r="E69" s="37">
        <v>0</v>
      </c>
      <c r="F69">
        <v>0.0106</v>
      </c>
      <c r="G69">
        <v>0.4426</v>
      </c>
      <c r="I69" s="38"/>
      <c r="J69" s="39"/>
      <c r="K69" s="39"/>
      <c r="L69" s="39"/>
      <c r="M69" s="39"/>
      <c r="N69" s="40"/>
      <c r="O69" s="40"/>
    </row>
    <row r="70" spans="1:15">
      <c r="A70" s="28" t="s">
        <v>385</v>
      </c>
      <c r="B70" s="37">
        <v>0</v>
      </c>
      <c r="C70" s="37">
        <v>0</v>
      </c>
      <c r="D70" s="37">
        <v>0.01</v>
      </c>
      <c r="E70" s="37">
        <v>0</v>
      </c>
      <c r="F70">
        <v>0.0105</v>
      </c>
      <c r="G70">
        <v>0.433</v>
      </c>
      <c r="I70" s="38"/>
      <c r="J70" s="39"/>
      <c r="K70" s="39"/>
      <c r="L70" s="39"/>
      <c r="M70" s="39"/>
      <c r="N70" s="40"/>
      <c r="O70" s="40"/>
    </row>
    <row r="71" spans="1:15">
      <c r="A71" s="28" t="s">
        <v>386</v>
      </c>
      <c r="B71" s="37">
        <v>0</v>
      </c>
      <c r="C71" s="37">
        <v>0</v>
      </c>
      <c r="D71" s="37">
        <v>0</v>
      </c>
      <c r="E71" s="37">
        <v>0</v>
      </c>
      <c r="F71">
        <v>0.0105</v>
      </c>
      <c r="G71">
        <v>0.4324</v>
      </c>
      <c r="I71" s="38"/>
      <c r="J71" s="39"/>
      <c r="K71" s="39"/>
      <c r="L71" s="39"/>
      <c r="M71" s="39"/>
      <c r="N71" s="40"/>
      <c r="O71" s="40"/>
    </row>
    <row r="72" spans="1:15">
      <c r="A72" s="28" t="s">
        <v>387</v>
      </c>
      <c r="B72" s="37">
        <v>0</v>
      </c>
      <c r="C72" s="37">
        <v>0</v>
      </c>
      <c r="D72" s="37">
        <v>0</v>
      </c>
      <c r="E72" s="37">
        <v>0</v>
      </c>
      <c r="F72">
        <v>0.0105</v>
      </c>
      <c r="G72">
        <v>0.4324</v>
      </c>
      <c r="I72" s="38"/>
      <c r="J72" s="39"/>
      <c r="K72" s="39"/>
      <c r="L72" s="39"/>
      <c r="M72" s="39"/>
      <c r="N72" s="40"/>
      <c r="O72" s="40"/>
    </row>
    <row r="73" spans="1:15">
      <c r="A73" s="28" t="s">
        <v>388</v>
      </c>
      <c r="B73" s="37">
        <v>0</v>
      </c>
      <c r="C73" s="37">
        <v>0</v>
      </c>
      <c r="D73" s="37">
        <v>0</v>
      </c>
      <c r="E73" s="37">
        <v>0</v>
      </c>
      <c r="F73">
        <v>0.0105</v>
      </c>
      <c r="G73">
        <v>0.4223</v>
      </c>
      <c r="I73" s="38"/>
      <c r="J73" s="39"/>
      <c r="K73" s="39"/>
      <c r="L73" s="39"/>
      <c r="M73" s="39"/>
      <c r="N73" s="40"/>
      <c r="O73" s="40"/>
    </row>
    <row r="74" spans="1:15">
      <c r="A74" s="28" t="s">
        <v>389</v>
      </c>
      <c r="B74" s="37">
        <v>0</v>
      </c>
      <c r="C74" s="37">
        <v>0</v>
      </c>
      <c r="D74" s="37">
        <v>0</v>
      </c>
      <c r="E74" s="37">
        <v>0</v>
      </c>
      <c r="F74">
        <v>0.0104</v>
      </c>
      <c r="G74">
        <v>0.4229</v>
      </c>
      <c r="I74" s="38"/>
      <c r="J74" s="39"/>
      <c r="K74" s="39"/>
      <c r="L74" s="39"/>
      <c r="M74" s="39"/>
      <c r="N74" s="40"/>
      <c r="O74" s="40"/>
    </row>
    <row r="75" spans="1:15">
      <c r="A75" s="28" t="s">
        <v>390</v>
      </c>
      <c r="B75" s="37">
        <v>0</v>
      </c>
      <c r="C75" s="37">
        <v>0</v>
      </c>
      <c r="D75" s="37">
        <v>0</v>
      </c>
      <c r="E75" s="37">
        <v>0</v>
      </c>
      <c r="F75">
        <v>0.0104</v>
      </c>
      <c r="G75">
        <v>0.4169</v>
      </c>
      <c r="I75" s="38"/>
      <c r="J75" s="39"/>
      <c r="K75" s="39"/>
      <c r="L75" s="39"/>
      <c r="M75" s="39"/>
      <c r="N75" s="40"/>
      <c r="O75" s="40"/>
    </row>
    <row r="76" spans="1:15">
      <c r="A76" s="28" t="s">
        <v>391</v>
      </c>
      <c r="B76" s="37">
        <v>0</v>
      </c>
      <c r="C76" s="37">
        <v>0</v>
      </c>
      <c r="D76" s="37">
        <v>0</v>
      </c>
      <c r="E76" s="37">
        <v>0</v>
      </c>
      <c r="F76">
        <v>0.0105</v>
      </c>
      <c r="G76">
        <v>0.4169</v>
      </c>
      <c r="I76" s="38"/>
      <c r="J76" s="39"/>
      <c r="K76" s="39"/>
      <c r="L76" s="39"/>
      <c r="M76" s="39"/>
      <c r="N76" s="40"/>
      <c r="O76" s="40"/>
    </row>
    <row r="77" spans="1:15">
      <c r="A77" s="28" t="s">
        <v>392</v>
      </c>
      <c r="B77" s="37">
        <v>0</v>
      </c>
      <c r="C77" s="37">
        <v>0</v>
      </c>
      <c r="D77" s="37">
        <v>0.03</v>
      </c>
      <c r="E77" s="37">
        <v>0</v>
      </c>
      <c r="F77">
        <v>0.0105</v>
      </c>
      <c r="G77">
        <v>0.4169</v>
      </c>
      <c r="I77" s="38"/>
      <c r="J77" s="39"/>
      <c r="K77" s="39"/>
      <c r="L77" s="39"/>
      <c r="M77" s="39"/>
      <c r="N77" s="40"/>
      <c r="O77" s="40"/>
    </row>
    <row r="78" spans="1:15">
      <c r="A78" s="28" t="s">
        <v>393</v>
      </c>
      <c r="B78" s="37">
        <v>0</v>
      </c>
      <c r="C78" s="37">
        <v>0</v>
      </c>
      <c r="D78" s="37">
        <v>0.061</v>
      </c>
      <c r="E78" s="37">
        <v>0</v>
      </c>
      <c r="F78">
        <v>0.0105</v>
      </c>
      <c r="G78">
        <v>0.4169</v>
      </c>
      <c r="I78" s="38"/>
      <c r="J78" s="39"/>
      <c r="K78" s="39"/>
      <c r="L78" s="39"/>
      <c r="M78" s="39"/>
      <c r="N78" s="40"/>
      <c r="O78" s="40"/>
    </row>
    <row r="79" spans="1:15">
      <c r="A79" s="28" t="s">
        <v>394</v>
      </c>
      <c r="B79" s="37">
        <v>0</v>
      </c>
      <c r="C79" s="37">
        <v>0</v>
      </c>
      <c r="D79" s="37">
        <v>0</v>
      </c>
      <c r="E79" s="37">
        <v>0</v>
      </c>
      <c r="F79">
        <v>0.0104</v>
      </c>
      <c r="G79">
        <v>0.4137</v>
      </c>
      <c r="I79" s="38"/>
      <c r="J79" s="39"/>
      <c r="K79" s="39"/>
      <c r="L79" s="39"/>
      <c r="M79" s="39"/>
      <c r="N79" s="40"/>
      <c r="O79" s="40"/>
    </row>
    <row r="80" spans="1:15">
      <c r="A80" s="28" t="s">
        <v>395</v>
      </c>
      <c r="B80" s="37">
        <v>0</v>
      </c>
      <c r="C80" s="37">
        <v>0</v>
      </c>
      <c r="D80" s="37">
        <v>0</v>
      </c>
      <c r="E80" s="37">
        <v>0</v>
      </c>
      <c r="F80">
        <v>0.0103</v>
      </c>
      <c r="G80">
        <v>0.4083</v>
      </c>
      <c r="I80" s="38"/>
      <c r="J80" s="39"/>
      <c r="K80" s="39"/>
      <c r="L80" s="39"/>
      <c r="M80" s="39"/>
      <c r="N80" s="40"/>
      <c r="O80" s="40"/>
    </row>
    <row r="81" spans="1:15">
      <c r="A81" s="28" t="s">
        <v>396</v>
      </c>
      <c r="B81" s="37">
        <v>0</v>
      </c>
      <c r="C81" s="37">
        <v>0</v>
      </c>
      <c r="D81" s="37">
        <v>0</v>
      </c>
      <c r="E81" s="37">
        <v>0</v>
      </c>
      <c r="F81">
        <v>0.0104</v>
      </c>
      <c r="G81">
        <v>0.4059</v>
      </c>
      <c r="I81" s="38"/>
      <c r="J81" s="39"/>
      <c r="K81" s="39"/>
      <c r="L81" s="39"/>
      <c r="M81" s="39"/>
      <c r="N81" s="40"/>
      <c r="O81" s="40"/>
    </row>
    <row r="82" spans="1:15">
      <c r="A82" s="28" t="s">
        <v>397</v>
      </c>
      <c r="B82" s="37">
        <v>0</v>
      </c>
      <c r="C82" s="37">
        <v>0</v>
      </c>
      <c r="D82" s="37">
        <v>0</v>
      </c>
      <c r="E82" s="37">
        <v>0</v>
      </c>
      <c r="F82">
        <v>0.0105</v>
      </c>
      <c r="G82">
        <v>0.4061</v>
      </c>
      <c r="I82" s="38"/>
      <c r="J82" s="39"/>
      <c r="K82" s="39"/>
      <c r="L82" s="39"/>
      <c r="M82" s="39"/>
      <c r="N82" s="40"/>
      <c r="O82" s="40"/>
    </row>
    <row r="83" spans="1:15">
      <c r="A83" s="28" t="s">
        <v>398</v>
      </c>
      <c r="B83" s="37">
        <v>0</v>
      </c>
      <c r="C83" s="37">
        <v>0</v>
      </c>
      <c r="D83" s="37">
        <v>0</v>
      </c>
      <c r="E83" s="37">
        <v>0</v>
      </c>
      <c r="F83">
        <v>0.0105</v>
      </c>
      <c r="G83">
        <v>0.4052</v>
      </c>
      <c r="I83" s="38"/>
      <c r="J83" s="39"/>
      <c r="K83" s="39"/>
      <c r="L83" s="39"/>
      <c r="M83" s="39"/>
      <c r="N83" s="40"/>
      <c r="O83" s="40"/>
    </row>
    <row r="84" spans="1:15">
      <c r="A84" s="28" t="s">
        <v>399</v>
      </c>
      <c r="B84" s="37">
        <v>0</v>
      </c>
      <c r="C84" s="37">
        <v>0</v>
      </c>
      <c r="D84" s="37">
        <v>0</v>
      </c>
      <c r="E84" s="37">
        <v>0</v>
      </c>
      <c r="F84">
        <v>0.0105</v>
      </c>
      <c r="G84">
        <v>0.3964</v>
      </c>
      <c r="I84" s="38"/>
      <c r="J84" s="39"/>
      <c r="K84" s="39"/>
      <c r="L84" s="39"/>
      <c r="M84" s="39"/>
      <c r="N84" s="40"/>
      <c r="O84" s="40"/>
    </row>
    <row r="85" spans="1:15">
      <c r="A85" s="28" t="s">
        <v>400</v>
      </c>
      <c r="B85" s="37">
        <v>0</v>
      </c>
      <c r="C85" s="37">
        <v>0</v>
      </c>
      <c r="D85" s="37">
        <v>0</v>
      </c>
      <c r="E85" s="37">
        <v>0</v>
      </c>
      <c r="F85">
        <v>0.0104</v>
      </c>
      <c r="G85">
        <v>0.3964</v>
      </c>
      <c r="I85" s="38"/>
      <c r="J85" s="39"/>
      <c r="K85" s="39"/>
      <c r="L85" s="39"/>
      <c r="M85" s="39"/>
      <c r="N85" s="40"/>
      <c r="O85" s="40"/>
    </row>
    <row r="86" spans="1:15">
      <c r="A86" s="28" t="s">
        <v>401</v>
      </c>
      <c r="B86" s="37">
        <v>0</v>
      </c>
      <c r="C86" s="37">
        <v>0</v>
      </c>
      <c r="D86" s="37">
        <v>0</v>
      </c>
      <c r="E86" s="37">
        <v>0</v>
      </c>
      <c r="F86">
        <v>0.0104</v>
      </c>
      <c r="G86">
        <v>0.3964</v>
      </c>
      <c r="I86" s="38"/>
      <c r="J86" s="39"/>
      <c r="K86" s="39"/>
      <c r="L86" s="39"/>
      <c r="M86" s="39"/>
      <c r="N86" s="40"/>
      <c r="O86" s="40"/>
    </row>
    <row r="87" spans="1:15">
      <c r="A87" s="28" t="s">
        <v>402</v>
      </c>
      <c r="B87" s="37">
        <v>0</v>
      </c>
      <c r="C87" s="37">
        <v>0</v>
      </c>
      <c r="D87" s="37">
        <v>0.019</v>
      </c>
      <c r="E87" s="37">
        <v>0</v>
      </c>
      <c r="F87">
        <v>0.0104</v>
      </c>
      <c r="G87">
        <v>0.4003</v>
      </c>
      <c r="I87" s="38"/>
      <c r="J87" s="39"/>
      <c r="K87" s="39"/>
      <c r="L87" s="39"/>
      <c r="M87" s="39"/>
      <c r="N87" s="40"/>
      <c r="O87" s="40"/>
    </row>
    <row r="88" spans="1:15">
      <c r="A88" s="28" t="s">
        <v>403</v>
      </c>
      <c r="B88" s="37">
        <v>0</v>
      </c>
      <c r="C88" s="37">
        <v>0</v>
      </c>
      <c r="D88" s="37">
        <v>0</v>
      </c>
      <c r="E88" s="37">
        <v>0</v>
      </c>
      <c r="F88">
        <v>0.0103</v>
      </c>
      <c r="G88">
        <v>0.3817</v>
      </c>
      <c r="I88" s="38"/>
      <c r="J88" s="39"/>
      <c r="K88" s="39"/>
      <c r="L88" s="39"/>
      <c r="M88" s="39"/>
      <c r="N88" s="40"/>
      <c r="O88" s="40"/>
    </row>
    <row r="89" spans="1:15">
      <c r="A89" s="28" t="s">
        <v>404</v>
      </c>
      <c r="B89" s="37">
        <v>0</v>
      </c>
      <c r="C89" s="37">
        <v>0</v>
      </c>
      <c r="D89" s="37">
        <v>0</v>
      </c>
      <c r="E89" s="37">
        <v>0</v>
      </c>
      <c r="F89">
        <v>0.0105</v>
      </c>
      <c r="G89">
        <v>0.3817</v>
      </c>
      <c r="I89" s="38"/>
      <c r="J89" s="39"/>
      <c r="K89" s="39"/>
      <c r="L89" s="39"/>
      <c r="M89" s="39"/>
      <c r="N89" s="40"/>
      <c r="O89" s="40"/>
    </row>
    <row r="90" spans="1:15">
      <c r="A90" s="28" t="s">
        <v>405</v>
      </c>
      <c r="B90" s="37">
        <v>0</v>
      </c>
      <c r="C90" s="37">
        <v>0</v>
      </c>
      <c r="D90" s="37">
        <v>0</v>
      </c>
      <c r="E90" s="37">
        <v>0</v>
      </c>
      <c r="F90">
        <v>0.0105</v>
      </c>
      <c r="G90">
        <v>0.3781</v>
      </c>
      <c r="I90" s="38"/>
      <c r="J90" s="39"/>
      <c r="K90" s="39"/>
      <c r="L90" s="39"/>
      <c r="M90" s="39"/>
      <c r="N90" s="40"/>
      <c r="O90" s="40"/>
    </row>
    <row r="91" spans="1:15">
      <c r="A91" s="28" t="s">
        <v>406</v>
      </c>
      <c r="B91" s="37">
        <v>0</v>
      </c>
      <c r="C91" s="37">
        <v>0</v>
      </c>
      <c r="D91" s="37">
        <v>0</v>
      </c>
      <c r="E91" s="37">
        <v>0</v>
      </c>
      <c r="F91">
        <v>0.0104</v>
      </c>
      <c r="G91">
        <v>0.3781</v>
      </c>
      <c r="I91" s="38"/>
      <c r="J91" s="39"/>
      <c r="K91" s="39"/>
      <c r="L91" s="39"/>
      <c r="M91" s="39"/>
      <c r="N91" s="40"/>
      <c r="O91" s="40"/>
    </row>
    <row r="92" spans="1:15">
      <c r="A92" s="28" t="s">
        <v>407</v>
      </c>
      <c r="B92" s="37">
        <v>0</v>
      </c>
      <c r="C92" s="37">
        <v>0</v>
      </c>
      <c r="D92" s="37">
        <v>0</v>
      </c>
      <c r="E92" s="37">
        <v>0</v>
      </c>
      <c r="F92">
        <v>0.0103</v>
      </c>
      <c r="G92">
        <v>0.3764</v>
      </c>
      <c r="I92" s="38"/>
      <c r="J92" s="39"/>
      <c r="K92" s="39"/>
      <c r="L92" s="39"/>
      <c r="M92" s="39"/>
      <c r="N92" s="40"/>
      <c r="O92" s="40"/>
    </row>
    <row r="93" spans="1:15">
      <c r="A93" s="28" t="s">
        <v>408</v>
      </c>
      <c r="B93" s="37">
        <v>0</v>
      </c>
      <c r="C93" s="37">
        <v>0</v>
      </c>
      <c r="D93" s="37">
        <v>0</v>
      </c>
      <c r="E93" s="37">
        <v>0</v>
      </c>
      <c r="F93">
        <v>0.0103</v>
      </c>
      <c r="G93">
        <v>0.378</v>
      </c>
      <c r="I93" s="38"/>
      <c r="J93" s="39"/>
      <c r="K93" s="39"/>
      <c r="L93" s="39"/>
      <c r="M93" s="39"/>
      <c r="N93" s="40"/>
      <c r="O93" s="40"/>
    </row>
    <row r="94" spans="1:15">
      <c r="A94" s="28" t="s">
        <v>409</v>
      </c>
      <c r="B94" s="37">
        <v>0</v>
      </c>
      <c r="C94" s="37">
        <v>0</v>
      </c>
      <c r="D94" s="37">
        <v>0</v>
      </c>
      <c r="E94" s="37">
        <v>0</v>
      </c>
      <c r="F94">
        <v>0.0102</v>
      </c>
      <c r="G94">
        <v>0.3756</v>
      </c>
      <c r="I94" s="38"/>
      <c r="J94" s="39"/>
      <c r="K94" s="39"/>
      <c r="L94" s="39"/>
      <c r="M94" s="39"/>
      <c r="N94" s="40"/>
      <c r="O94" s="40"/>
    </row>
    <row r="95" spans="1:15">
      <c r="A95" s="28" t="s">
        <v>410</v>
      </c>
      <c r="B95" s="37">
        <v>0</v>
      </c>
      <c r="C95" s="37">
        <v>0</v>
      </c>
      <c r="D95" s="37">
        <v>0</v>
      </c>
      <c r="E95" s="37">
        <v>0</v>
      </c>
      <c r="F95">
        <v>0.0103</v>
      </c>
      <c r="G95">
        <v>0.3756</v>
      </c>
      <c r="I95" s="38"/>
      <c r="J95" s="39"/>
      <c r="K95" s="39"/>
      <c r="L95" s="39"/>
      <c r="M95" s="39"/>
      <c r="N95" s="40"/>
      <c r="O95" s="40"/>
    </row>
    <row r="96" spans="1:15">
      <c r="A96" s="28" t="s">
        <v>411</v>
      </c>
      <c r="B96" s="37">
        <v>0</v>
      </c>
      <c r="C96" s="37">
        <v>0</v>
      </c>
      <c r="D96" s="37">
        <v>0</v>
      </c>
      <c r="E96" s="37">
        <v>0</v>
      </c>
      <c r="F96">
        <v>0.0102</v>
      </c>
      <c r="G96">
        <v>0.381</v>
      </c>
      <c r="I96" s="38"/>
      <c r="J96" s="39"/>
      <c r="K96" s="39"/>
      <c r="L96" s="39"/>
      <c r="M96" s="39"/>
      <c r="N96" s="40"/>
      <c r="O96" s="40"/>
    </row>
    <row r="97" spans="1:15">
      <c r="A97" s="28" t="s">
        <v>412</v>
      </c>
      <c r="B97" s="37">
        <v>0</v>
      </c>
      <c r="C97" s="37">
        <v>0</v>
      </c>
      <c r="D97" s="37">
        <v>0</v>
      </c>
      <c r="E97" s="37">
        <v>0</v>
      </c>
      <c r="F97">
        <v>0.0103</v>
      </c>
      <c r="G97">
        <v>0.381</v>
      </c>
      <c r="I97" s="38"/>
      <c r="J97" s="39"/>
      <c r="K97" s="39"/>
      <c r="L97" s="39"/>
      <c r="M97" s="39"/>
      <c r="N97" s="40"/>
      <c r="O97" s="40"/>
    </row>
    <row r="98" spans="1:15">
      <c r="A98" s="28" t="s">
        <v>413</v>
      </c>
      <c r="B98" s="37">
        <v>0</v>
      </c>
      <c r="C98" s="37">
        <v>0</v>
      </c>
      <c r="D98" s="37">
        <v>0</v>
      </c>
      <c r="E98" s="37">
        <v>0</v>
      </c>
      <c r="F98">
        <v>0.0103</v>
      </c>
      <c r="G98">
        <v>0.381</v>
      </c>
      <c r="I98" s="38"/>
      <c r="J98" s="39"/>
      <c r="K98" s="39"/>
      <c r="L98" s="39"/>
      <c r="M98" s="39"/>
      <c r="N98" s="40"/>
      <c r="O98" s="40"/>
    </row>
    <row r="99" spans="1:15">
      <c r="A99" s="28" t="s">
        <v>414</v>
      </c>
      <c r="B99" s="37">
        <v>0</v>
      </c>
      <c r="C99" s="37">
        <v>0</v>
      </c>
      <c r="D99" s="37">
        <v>0</v>
      </c>
      <c r="E99" s="37">
        <v>0</v>
      </c>
      <c r="F99">
        <v>0.0102</v>
      </c>
      <c r="G99">
        <v>0.3841</v>
      </c>
      <c r="I99" s="38"/>
      <c r="J99" s="39"/>
      <c r="K99" s="39"/>
      <c r="L99" s="39"/>
      <c r="M99" s="39"/>
      <c r="N99" s="40"/>
      <c r="O99" s="40"/>
    </row>
    <row r="100" spans="1:15">
      <c r="A100" s="28" t="s">
        <v>415</v>
      </c>
      <c r="B100" s="37">
        <v>0</v>
      </c>
      <c r="C100" s="37">
        <v>0</v>
      </c>
      <c r="D100" s="37">
        <v>0</v>
      </c>
      <c r="E100" s="37">
        <v>0</v>
      </c>
      <c r="F100">
        <v>0.0102</v>
      </c>
      <c r="G100">
        <v>0.3866</v>
      </c>
      <c r="I100" s="38"/>
      <c r="J100" s="39"/>
      <c r="K100" s="39"/>
      <c r="L100" s="39"/>
      <c r="M100" s="39"/>
      <c r="N100" s="40"/>
      <c r="O100" s="40"/>
    </row>
    <row r="101" spans="1:15">
      <c r="A101" s="28" t="s">
        <v>416</v>
      </c>
      <c r="B101" s="37">
        <v>0</v>
      </c>
      <c r="C101" s="37">
        <v>0</v>
      </c>
      <c r="D101" s="37">
        <v>0</v>
      </c>
      <c r="E101" s="37">
        <v>0</v>
      </c>
      <c r="F101">
        <v>0.0102</v>
      </c>
      <c r="G101">
        <v>0.3866</v>
      </c>
      <c r="I101" s="38"/>
      <c r="J101" s="39"/>
      <c r="K101" s="39"/>
      <c r="L101" s="39"/>
      <c r="M101" s="39"/>
      <c r="N101" s="40"/>
      <c r="O101" s="40"/>
    </row>
    <row r="102" spans="1:15">
      <c r="A102" s="28" t="s">
        <v>417</v>
      </c>
      <c r="B102" s="37">
        <v>0</v>
      </c>
      <c r="C102" s="37">
        <v>0</v>
      </c>
      <c r="D102" s="37">
        <v>0</v>
      </c>
      <c r="E102" s="37">
        <v>0</v>
      </c>
      <c r="F102">
        <v>0.0103</v>
      </c>
      <c r="G102">
        <v>0.3865</v>
      </c>
      <c r="I102" s="38"/>
      <c r="J102" s="39"/>
      <c r="K102" s="39"/>
      <c r="L102" s="39"/>
      <c r="M102" s="39"/>
      <c r="N102" s="40"/>
      <c r="O102" s="40"/>
    </row>
    <row r="103" spans="1:15">
      <c r="A103" s="28" t="s">
        <v>418</v>
      </c>
      <c r="B103" s="37">
        <v>0</v>
      </c>
      <c r="C103" s="37">
        <v>0</v>
      </c>
      <c r="D103" s="37">
        <v>0</v>
      </c>
      <c r="E103" s="37">
        <v>0</v>
      </c>
      <c r="F103">
        <v>0.0103</v>
      </c>
      <c r="G103">
        <v>0.3834</v>
      </c>
      <c r="I103" s="38"/>
      <c r="J103" s="39"/>
      <c r="K103" s="39"/>
      <c r="L103" s="39"/>
      <c r="M103" s="39"/>
      <c r="N103" s="40"/>
      <c r="O103" s="40"/>
    </row>
    <row r="104" spans="1:15">
      <c r="A104" s="28" t="s">
        <v>419</v>
      </c>
      <c r="B104" s="37">
        <v>0</v>
      </c>
      <c r="C104" s="37">
        <v>0</v>
      </c>
      <c r="D104" s="37">
        <v>0</v>
      </c>
      <c r="E104" s="37">
        <v>0</v>
      </c>
      <c r="F104">
        <v>0.0103</v>
      </c>
      <c r="G104">
        <v>0.3834</v>
      </c>
      <c r="I104" s="38"/>
      <c r="J104" s="39"/>
      <c r="K104" s="39"/>
      <c r="L104" s="39"/>
      <c r="M104" s="39"/>
      <c r="N104" s="40"/>
      <c r="O104" s="40"/>
    </row>
    <row r="105" spans="1:15">
      <c r="A105" s="28" t="s">
        <v>420</v>
      </c>
      <c r="B105" s="37">
        <v>0</v>
      </c>
      <c r="C105" s="37">
        <v>0</v>
      </c>
      <c r="D105" s="37">
        <v>0</v>
      </c>
      <c r="E105" s="37">
        <v>0</v>
      </c>
      <c r="F105">
        <v>0.0103</v>
      </c>
      <c r="G105">
        <v>0.3834</v>
      </c>
      <c r="I105" s="38"/>
      <c r="J105" s="39"/>
      <c r="K105" s="39"/>
      <c r="L105" s="39"/>
      <c r="M105" s="39"/>
      <c r="N105" s="40"/>
      <c r="O105" s="40"/>
    </row>
    <row r="106" spans="1:15">
      <c r="A106" s="28" t="s">
        <v>421</v>
      </c>
      <c r="B106" s="37">
        <v>0</v>
      </c>
      <c r="C106" s="37">
        <v>0</v>
      </c>
      <c r="D106" s="37">
        <v>0</v>
      </c>
      <c r="E106" s="37">
        <v>0</v>
      </c>
      <c r="F106">
        <v>0.0102</v>
      </c>
      <c r="G106">
        <v>0.3834</v>
      </c>
      <c r="I106" s="38"/>
      <c r="J106" s="39"/>
      <c r="K106" s="39"/>
      <c r="L106" s="39"/>
      <c r="M106" s="39"/>
      <c r="N106" s="40"/>
      <c r="O106" s="40"/>
    </row>
    <row r="107" spans="1:15">
      <c r="A107" s="28" t="s">
        <v>422</v>
      </c>
      <c r="B107" s="37">
        <v>0</v>
      </c>
      <c r="C107" s="37">
        <v>0</v>
      </c>
      <c r="D107" s="37">
        <v>0</v>
      </c>
      <c r="E107" s="37">
        <v>0</v>
      </c>
      <c r="F107">
        <v>0.0102</v>
      </c>
      <c r="G107">
        <v>0.3847</v>
      </c>
      <c r="I107" s="38"/>
      <c r="J107" s="39"/>
      <c r="K107" s="39"/>
      <c r="L107" s="39"/>
      <c r="M107" s="39"/>
      <c r="N107" s="40"/>
      <c r="O107" s="40"/>
    </row>
    <row r="108" spans="1:15">
      <c r="A108" s="28" t="s">
        <v>423</v>
      </c>
      <c r="B108" s="37">
        <v>0</v>
      </c>
      <c r="C108" s="37">
        <v>0</v>
      </c>
      <c r="D108" s="37">
        <v>0</v>
      </c>
      <c r="E108" s="37">
        <v>0</v>
      </c>
      <c r="F108">
        <v>0.0103</v>
      </c>
      <c r="G108">
        <v>0.3847</v>
      </c>
      <c r="I108" s="38"/>
      <c r="J108" s="39"/>
      <c r="K108" s="39"/>
      <c r="L108" s="39"/>
      <c r="M108" s="39"/>
      <c r="N108" s="40"/>
      <c r="O108" s="40"/>
    </row>
    <row r="109" spans="1:15">
      <c r="A109" s="28" t="s">
        <v>424</v>
      </c>
      <c r="B109" s="37">
        <v>0</v>
      </c>
      <c r="C109" s="37">
        <v>0</v>
      </c>
      <c r="D109" s="37">
        <v>0</v>
      </c>
      <c r="E109" s="37">
        <v>0</v>
      </c>
      <c r="F109">
        <v>0.0103</v>
      </c>
      <c r="G109">
        <v>0.3827</v>
      </c>
      <c r="I109" s="38"/>
      <c r="J109" s="39"/>
      <c r="K109" s="39"/>
      <c r="L109" s="39"/>
      <c r="M109" s="39"/>
      <c r="N109" s="40"/>
      <c r="O109" s="40"/>
    </row>
    <row r="110" spans="1:15">
      <c r="A110" s="28" t="s">
        <v>425</v>
      </c>
      <c r="B110" s="37">
        <v>0</v>
      </c>
      <c r="C110" s="37">
        <v>0</v>
      </c>
      <c r="D110" s="37">
        <v>0</v>
      </c>
      <c r="E110" s="37">
        <v>0</v>
      </c>
      <c r="F110">
        <v>0.0102</v>
      </c>
      <c r="G110">
        <v>0.4001</v>
      </c>
      <c r="I110" s="38"/>
      <c r="J110" s="39"/>
      <c r="K110" s="39"/>
      <c r="L110" s="39"/>
      <c r="M110" s="39"/>
      <c r="N110" s="40"/>
      <c r="O110" s="40"/>
    </row>
    <row r="111" spans="1:15">
      <c r="A111" s="28" t="s">
        <v>426</v>
      </c>
      <c r="B111" s="37">
        <v>0</v>
      </c>
      <c r="C111" s="37">
        <v>0</v>
      </c>
      <c r="D111" s="37">
        <v>0</v>
      </c>
      <c r="E111" s="37">
        <v>0</v>
      </c>
      <c r="F111">
        <v>0.0102</v>
      </c>
      <c r="G111">
        <v>0.4016</v>
      </c>
      <c r="I111" s="38"/>
      <c r="J111" s="39"/>
      <c r="K111" s="39"/>
      <c r="L111" s="39"/>
      <c r="M111" s="39"/>
      <c r="N111" s="40"/>
      <c r="O111" s="40"/>
    </row>
    <row r="112" spans="1:15">
      <c r="A112" s="28" t="s">
        <v>427</v>
      </c>
      <c r="B112" s="37">
        <v>0</v>
      </c>
      <c r="C112" s="37">
        <v>0</v>
      </c>
      <c r="D112" s="37">
        <v>0</v>
      </c>
      <c r="E112" s="37">
        <v>0</v>
      </c>
      <c r="F112">
        <v>0.0103</v>
      </c>
      <c r="G112">
        <v>0.3868</v>
      </c>
      <c r="I112" s="38"/>
      <c r="J112" s="39"/>
      <c r="K112" s="39"/>
      <c r="L112" s="39"/>
      <c r="M112" s="39"/>
      <c r="N112" s="40"/>
      <c r="O112" s="40"/>
    </row>
    <row r="113" spans="1:15">
      <c r="A113" s="28" t="s">
        <v>428</v>
      </c>
      <c r="B113" s="37">
        <v>0</v>
      </c>
      <c r="C113" s="37">
        <v>0</v>
      </c>
      <c r="D113" s="37">
        <v>0</v>
      </c>
      <c r="E113" s="37">
        <v>0</v>
      </c>
      <c r="F113">
        <v>0.0103</v>
      </c>
      <c r="G113">
        <v>0.3893</v>
      </c>
      <c r="I113" s="38"/>
      <c r="J113" s="39"/>
      <c r="K113" s="39"/>
      <c r="L113" s="39"/>
      <c r="M113" s="39"/>
      <c r="N113" s="40"/>
      <c r="O113" s="40"/>
    </row>
    <row r="114" spans="1:15">
      <c r="A114" s="28" t="s">
        <v>429</v>
      </c>
      <c r="B114" s="37">
        <v>0</v>
      </c>
      <c r="C114" s="37">
        <v>0</v>
      </c>
      <c r="D114" s="37">
        <v>0</v>
      </c>
      <c r="E114" s="37">
        <v>0</v>
      </c>
      <c r="F114">
        <v>0.0102</v>
      </c>
      <c r="G114">
        <v>0.3879</v>
      </c>
      <c r="I114" s="38"/>
      <c r="J114" s="39"/>
      <c r="K114" s="39"/>
      <c r="L114" s="39"/>
      <c r="M114" s="39"/>
      <c r="N114" s="40"/>
      <c r="O114" s="40"/>
    </row>
    <row r="115" spans="1:15">
      <c r="A115" s="28" t="s">
        <v>430</v>
      </c>
      <c r="B115" s="37">
        <v>0</v>
      </c>
      <c r="C115" s="37">
        <v>0</v>
      </c>
      <c r="D115" s="37">
        <v>0</v>
      </c>
      <c r="E115" s="37">
        <v>0</v>
      </c>
      <c r="F115">
        <v>0.0103</v>
      </c>
      <c r="G115">
        <v>0.3938</v>
      </c>
      <c r="I115" s="38"/>
      <c r="J115" s="39"/>
      <c r="K115" s="39"/>
      <c r="L115" s="39"/>
      <c r="M115" s="39"/>
      <c r="N115" s="40"/>
      <c r="O115" s="40"/>
    </row>
    <row r="116" spans="1:15">
      <c r="A116" s="28" t="s">
        <v>431</v>
      </c>
      <c r="B116" s="37">
        <v>0</v>
      </c>
      <c r="C116" s="37">
        <v>0</v>
      </c>
      <c r="D116" s="37">
        <v>0</v>
      </c>
      <c r="E116" s="37">
        <v>0</v>
      </c>
      <c r="F116">
        <v>0.0101</v>
      </c>
      <c r="G116">
        <v>0.3923</v>
      </c>
      <c r="I116" s="38"/>
      <c r="J116" s="39"/>
      <c r="K116" s="39"/>
      <c r="L116" s="39"/>
      <c r="M116" s="39"/>
      <c r="N116" s="40"/>
      <c r="O116" s="40"/>
    </row>
    <row r="117" spans="1:15">
      <c r="A117" s="28" t="s">
        <v>432</v>
      </c>
      <c r="B117" s="37">
        <v>0</v>
      </c>
      <c r="C117" s="37">
        <v>0</v>
      </c>
      <c r="D117" s="37">
        <v>0</v>
      </c>
      <c r="E117" s="37">
        <v>0</v>
      </c>
      <c r="F117">
        <v>0.0101</v>
      </c>
      <c r="G117">
        <v>0.3944</v>
      </c>
      <c r="I117" s="38"/>
      <c r="J117" s="39"/>
      <c r="K117" s="39"/>
      <c r="L117" s="39"/>
      <c r="M117" s="39"/>
      <c r="N117" s="40"/>
      <c r="O117" s="40"/>
    </row>
    <row r="118" spans="1:15">
      <c r="A118" s="28" t="s">
        <v>433</v>
      </c>
      <c r="B118" s="37">
        <v>0</v>
      </c>
      <c r="C118" s="37">
        <v>0</v>
      </c>
      <c r="D118" s="37">
        <v>0</v>
      </c>
      <c r="E118" s="37">
        <v>0</v>
      </c>
      <c r="F118">
        <v>0.0102</v>
      </c>
      <c r="G118">
        <v>0.3944</v>
      </c>
      <c r="I118" s="38"/>
      <c r="J118" s="39"/>
      <c r="K118" s="39"/>
      <c r="L118" s="39"/>
      <c r="M118" s="39"/>
      <c r="N118" s="40"/>
      <c r="O118" s="40"/>
    </row>
    <row r="119" spans="1:15">
      <c r="A119" s="28" t="s">
        <v>434</v>
      </c>
      <c r="B119" s="37">
        <v>0</v>
      </c>
      <c r="C119" s="37">
        <v>0</v>
      </c>
      <c r="D119" s="37">
        <v>0</v>
      </c>
      <c r="E119" s="37">
        <v>0</v>
      </c>
      <c r="F119">
        <v>0.0102</v>
      </c>
      <c r="G119">
        <v>0.3968</v>
      </c>
      <c r="I119" s="38"/>
      <c r="J119" s="39"/>
      <c r="K119" s="39"/>
      <c r="L119" s="39"/>
      <c r="M119" s="39"/>
      <c r="N119" s="40"/>
      <c r="O119" s="40"/>
    </row>
    <row r="120" spans="1:15">
      <c r="A120" s="28" t="s">
        <v>435</v>
      </c>
      <c r="B120" s="37">
        <v>0</v>
      </c>
      <c r="C120" s="37">
        <v>0</v>
      </c>
      <c r="D120" s="37">
        <v>0</v>
      </c>
      <c r="E120" s="37">
        <v>0</v>
      </c>
      <c r="F120">
        <v>0.0102</v>
      </c>
      <c r="G120">
        <v>0.398</v>
      </c>
      <c r="I120" s="38"/>
      <c r="J120" s="39"/>
      <c r="K120" s="39"/>
      <c r="L120" s="39"/>
      <c r="M120" s="39"/>
      <c r="N120" s="40"/>
      <c r="O120" s="40"/>
    </row>
    <row r="121" spans="1:15">
      <c r="A121" s="28" t="s">
        <v>436</v>
      </c>
      <c r="B121" s="37">
        <v>0</v>
      </c>
      <c r="C121" s="37">
        <v>0</v>
      </c>
      <c r="D121" s="37">
        <v>0</v>
      </c>
      <c r="E121" s="37">
        <v>0</v>
      </c>
      <c r="F121">
        <v>0.0102</v>
      </c>
      <c r="G121">
        <v>0.398</v>
      </c>
      <c r="I121" s="38"/>
      <c r="J121" s="39"/>
      <c r="K121" s="39"/>
      <c r="L121" s="39"/>
      <c r="M121" s="39"/>
      <c r="N121" s="40"/>
      <c r="O121" s="40"/>
    </row>
    <row r="122" spans="1:15">
      <c r="A122" s="28" t="s">
        <v>437</v>
      </c>
      <c r="B122" s="37">
        <v>0</v>
      </c>
      <c r="C122" s="37">
        <v>0</v>
      </c>
      <c r="D122" s="37">
        <v>0</v>
      </c>
      <c r="E122" s="37">
        <v>0</v>
      </c>
      <c r="F122">
        <v>0.0103</v>
      </c>
      <c r="G122">
        <v>0.398</v>
      </c>
      <c r="I122" s="38"/>
      <c r="J122" s="39"/>
      <c r="K122" s="39"/>
      <c r="L122" s="39"/>
      <c r="M122" s="39"/>
      <c r="N122" s="40"/>
      <c r="O122" s="40"/>
    </row>
    <row r="123" spans="1:15">
      <c r="A123" s="28" t="s">
        <v>438</v>
      </c>
      <c r="B123" s="37">
        <v>0</v>
      </c>
      <c r="C123" s="37">
        <v>0</v>
      </c>
      <c r="D123" s="37">
        <v>0</v>
      </c>
      <c r="E123" s="37">
        <v>0</v>
      </c>
      <c r="F123">
        <v>0.0104</v>
      </c>
      <c r="G123">
        <v>0.3949</v>
      </c>
      <c r="I123" s="38"/>
      <c r="J123" s="39"/>
      <c r="K123" s="39"/>
      <c r="L123" s="39"/>
      <c r="M123" s="39"/>
      <c r="N123" s="40"/>
      <c r="O123" s="40"/>
    </row>
    <row r="124" spans="1:15">
      <c r="A124" s="28" t="s">
        <v>439</v>
      </c>
      <c r="B124" s="37">
        <v>0</v>
      </c>
      <c r="C124" s="37">
        <v>0</v>
      </c>
      <c r="D124" s="37">
        <v>0</v>
      </c>
      <c r="E124" s="37">
        <v>0</v>
      </c>
      <c r="F124">
        <v>0.0105</v>
      </c>
      <c r="G124">
        <v>0.3949</v>
      </c>
      <c r="I124" s="38"/>
      <c r="J124" s="39"/>
      <c r="K124" s="39"/>
      <c r="L124" s="39"/>
      <c r="M124" s="39"/>
      <c r="N124" s="40"/>
      <c r="O124" s="40"/>
    </row>
    <row r="125" spans="1:15">
      <c r="A125" s="28" t="s">
        <v>440</v>
      </c>
      <c r="B125" s="37">
        <v>0</v>
      </c>
      <c r="C125" s="37">
        <v>0</v>
      </c>
      <c r="D125" s="37">
        <v>0</v>
      </c>
      <c r="E125" s="37">
        <v>0</v>
      </c>
      <c r="F125">
        <v>0.0104</v>
      </c>
      <c r="G125">
        <v>0.3935</v>
      </c>
      <c r="I125" s="38"/>
      <c r="J125" s="39"/>
      <c r="K125" s="39"/>
      <c r="L125" s="39"/>
      <c r="M125" s="39"/>
      <c r="N125" s="40"/>
      <c r="O125" s="40"/>
    </row>
    <row r="126" spans="1:15">
      <c r="A126" s="28" t="s">
        <v>441</v>
      </c>
      <c r="B126" s="37">
        <v>0</v>
      </c>
      <c r="C126" s="37">
        <v>0</v>
      </c>
      <c r="D126" s="37">
        <v>0</v>
      </c>
      <c r="E126" s="37">
        <v>0</v>
      </c>
      <c r="F126">
        <v>0.0104</v>
      </c>
      <c r="G126">
        <v>0.3944</v>
      </c>
      <c r="I126" s="38"/>
      <c r="J126" s="39"/>
      <c r="K126" s="39"/>
      <c r="L126" s="39"/>
      <c r="M126" s="39"/>
      <c r="N126" s="40"/>
      <c r="O126" s="40"/>
    </row>
    <row r="127" spans="1:15">
      <c r="A127" s="28" t="s">
        <v>442</v>
      </c>
      <c r="B127" s="37">
        <v>0</v>
      </c>
      <c r="C127" s="37">
        <v>0</v>
      </c>
      <c r="D127" s="37">
        <v>0</v>
      </c>
      <c r="E127" s="37">
        <v>0</v>
      </c>
      <c r="F127">
        <v>0.0104</v>
      </c>
      <c r="G127">
        <v>0.3944</v>
      </c>
      <c r="I127" s="38"/>
      <c r="J127" s="39"/>
      <c r="K127" s="39"/>
      <c r="L127" s="39"/>
      <c r="M127" s="39"/>
      <c r="N127" s="40"/>
      <c r="O127" s="40"/>
    </row>
    <row r="128" spans="1:15">
      <c r="A128" s="28" t="s">
        <v>443</v>
      </c>
      <c r="B128" s="37">
        <v>0</v>
      </c>
      <c r="C128" s="37">
        <v>0</v>
      </c>
      <c r="D128" s="37">
        <v>0</v>
      </c>
      <c r="E128" s="37">
        <v>0</v>
      </c>
      <c r="F128">
        <v>0.0103</v>
      </c>
      <c r="G128">
        <v>0.3944</v>
      </c>
      <c r="I128" s="38"/>
      <c r="J128" s="39"/>
      <c r="K128" s="39"/>
      <c r="L128" s="39"/>
      <c r="M128" s="39"/>
      <c r="N128" s="40"/>
      <c r="O128" s="40"/>
    </row>
    <row r="129" spans="1:15">
      <c r="A129" s="28" t="s">
        <v>444</v>
      </c>
      <c r="B129" s="37">
        <v>0</v>
      </c>
      <c r="C129" s="37">
        <v>0</v>
      </c>
      <c r="D129" s="37">
        <v>0.013</v>
      </c>
      <c r="E129" s="37">
        <v>0</v>
      </c>
      <c r="F129">
        <v>0.0103</v>
      </c>
      <c r="G129">
        <v>0.3925</v>
      </c>
      <c r="I129" s="38"/>
      <c r="J129" s="39"/>
      <c r="K129" s="39"/>
      <c r="L129" s="39"/>
      <c r="M129" s="39"/>
      <c r="N129" s="40"/>
      <c r="O129" s="40"/>
    </row>
    <row r="130" spans="1:15">
      <c r="A130" s="28" t="s">
        <v>445</v>
      </c>
      <c r="B130" s="37">
        <v>0</v>
      </c>
      <c r="C130" s="37">
        <v>0</v>
      </c>
      <c r="D130" s="37">
        <v>0.013</v>
      </c>
      <c r="E130" s="37">
        <v>0</v>
      </c>
      <c r="F130">
        <v>0.0103</v>
      </c>
      <c r="G130">
        <v>0.3925</v>
      </c>
      <c r="I130" s="38"/>
      <c r="J130" s="39"/>
      <c r="K130" s="39"/>
      <c r="L130" s="39"/>
      <c r="M130" s="39"/>
      <c r="N130" s="40"/>
      <c r="O130" s="40"/>
    </row>
    <row r="131" spans="1:15">
      <c r="A131" s="28" t="s">
        <v>446</v>
      </c>
      <c r="B131" s="37">
        <v>0</v>
      </c>
      <c r="C131" s="37">
        <v>0</v>
      </c>
      <c r="D131" s="37">
        <v>0</v>
      </c>
      <c r="E131" s="37">
        <v>0</v>
      </c>
      <c r="F131">
        <v>0.0102</v>
      </c>
      <c r="G131">
        <v>0.3807</v>
      </c>
      <c r="I131" s="38"/>
      <c r="J131" s="39"/>
      <c r="K131" s="39"/>
      <c r="L131" s="39"/>
      <c r="M131" s="39"/>
      <c r="N131" s="40"/>
      <c r="O131" s="40"/>
    </row>
    <row r="132" spans="1:15">
      <c r="A132" s="28" t="s">
        <v>447</v>
      </c>
      <c r="B132" s="37">
        <v>0</v>
      </c>
      <c r="C132" s="37">
        <v>0</v>
      </c>
      <c r="D132" s="37">
        <v>0</v>
      </c>
      <c r="E132" s="37">
        <v>0</v>
      </c>
      <c r="F132">
        <v>0.0104</v>
      </c>
      <c r="G132">
        <v>0.3788</v>
      </c>
      <c r="I132" s="38"/>
      <c r="J132" s="39"/>
      <c r="K132" s="39"/>
      <c r="L132" s="39"/>
      <c r="M132" s="39"/>
      <c r="N132" s="40"/>
      <c r="O132" s="40"/>
    </row>
    <row r="133" spans="1:15">
      <c r="A133" s="28" t="s">
        <v>448</v>
      </c>
      <c r="B133" s="37">
        <v>0</v>
      </c>
      <c r="C133" s="37">
        <v>0</v>
      </c>
      <c r="D133" s="37">
        <v>0</v>
      </c>
      <c r="E133" s="37">
        <v>0</v>
      </c>
      <c r="F133">
        <v>0.0104</v>
      </c>
      <c r="G133">
        <v>0.3763</v>
      </c>
      <c r="I133" s="38"/>
      <c r="J133" s="39"/>
      <c r="K133" s="39"/>
      <c r="L133" s="39"/>
      <c r="M133" s="39"/>
      <c r="N133" s="40"/>
      <c r="O133" s="40"/>
    </row>
    <row r="134" spans="1:15">
      <c r="A134" s="28" t="s">
        <v>449</v>
      </c>
      <c r="B134" s="37">
        <v>0</v>
      </c>
      <c r="C134" s="37">
        <v>0</v>
      </c>
      <c r="D134" s="37">
        <v>0</v>
      </c>
      <c r="E134" s="37">
        <v>0</v>
      </c>
      <c r="F134">
        <v>0.0104</v>
      </c>
      <c r="G134">
        <v>0.3763</v>
      </c>
      <c r="I134" s="38"/>
      <c r="J134" s="39"/>
      <c r="K134" s="39"/>
      <c r="L134" s="39"/>
      <c r="M134" s="39"/>
      <c r="N134" s="40"/>
      <c r="O134" s="40"/>
    </row>
    <row r="135" spans="1:15">
      <c r="A135" s="28" t="s">
        <v>450</v>
      </c>
      <c r="B135" s="37">
        <v>0</v>
      </c>
      <c r="C135" s="37">
        <v>0</v>
      </c>
      <c r="D135" s="37">
        <v>0</v>
      </c>
      <c r="E135" s="37">
        <v>0</v>
      </c>
      <c r="F135">
        <v>0.0103</v>
      </c>
      <c r="G135">
        <v>0.3755</v>
      </c>
      <c r="I135" s="38"/>
      <c r="J135" s="39"/>
      <c r="K135" s="39"/>
      <c r="L135" s="39"/>
      <c r="M135" s="39"/>
      <c r="N135" s="40"/>
      <c r="O135" s="40"/>
    </row>
    <row r="136" spans="1:15">
      <c r="A136" s="28" t="s">
        <v>451</v>
      </c>
      <c r="B136" s="37">
        <v>0</v>
      </c>
      <c r="C136" s="37">
        <v>0</v>
      </c>
      <c r="D136" s="37">
        <v>0</v>
      </c>
      <c r="E136" s="37">
        <v>0</v>
      </c>
      <c r="F136">
        <v>0.0103</v>
      </c>
      <c r="G136">
        <v>0.377</v>
      </c>
      <c r="I136" s="38"/>
      <c r="J136" s="39"/>
      <c r="K136" s="39"/>
      <c r="L136" s="39"/>
      <c r="M136" s="39"/>
      <c r="N136" s="40"/>
      <c r="O136" s="40"/>
    </row>
    <row r="137" spans="1:15">
      <c r="A137" s="28" t="s">
        <v>452</v>
      </c>
      <c r="B137" s="37">
        <v>0</v>
      </c>
      <c r="C137" s="37">
        <v>0</v>
      </c>
      <c r="D137" s="37">
        <v>0</v>
      </c>
      <c r="E137" s="37">
        <v>0</v>
      </c>
      <c r="F137">
        <v>0.0102</v>
      </c>
      <c r="G137">
        <v>0.377</v>
      </c>
      <c r="I137" s="38"/>
      <c r="J137" s="39"/>
      <c r="K137" s="39"/>
      <c r="L137" s="39"/>
      <c r="M137" s="39"/>
      <c r="N137" s="40"/>
      <c r="O137" s="40"/>
    </row>
    <row r="138" spans="1:15">
      <c r="A138" s="28" t="s">
        <v>453</v>
      </c>
      <c r="B138" s="37">
        <v>0</v>
      </c>
      <c r="C138" s="37">
        <v>0</v>
      </c>
      <c r="D138" s="37">
        <v>0</v>
      </c>
      <c r="E138" s="37">
        <v>0</v>
      </c>
      <c r="F138">
        <v>0.0102</v>
      </c>
      <c r="G138">
        <v>0.3793</v>
      </c>
      <c r="I138" s="38"/>
      <c r="J138" s="39"/>
      <c r="K138" s="39"/>
      <c r="L138" s="39"/>
      <c r="M138" s="39"/>
      <c r="N138" s="40"/>
      <c r="O138" s="40"/>
    </row>
    <row r="139" spans="1:15">
      <c r="A139" s="28" t="s">
        <v>454</v>
      </c>
      <c r="B139" s="37">
        <v>0</v>
      </c>
      <c r="C139" s="37">
        <v>0</v>
      </c>
      <c r="D139" s="37">
        <v>0</v>
      </c>
      <c r="E139" s="37">
        <v>0</v>
      </c>
      <c r="F139">
        <v>0.0102</v>
      </c>
      <c r="G139">
        <v>0.3819</v>
      </c>
      <c r="I139" s="38"/>
      <c r="J139" s="39"/>
      <c r="K139" s="39"/>
      <c r="L139" s="39"/>
      <c r="M139" s="39"/>
      <c r="N139" s="40"/>
      <c r="O139" s="40"/>
    </row>
    <row r="140" spans="1:15">
      <c r="A140" s="28" t="s">
        <v>455</v>
      </c>
      <c r="B140" s="37">
        <v>0</v>
      </c>
      <c r="C140" s="37">
        <v>0</v>
      </c>
      <c r="D140" s="37">
        <v>0</v>
      </c>
      <c r="E140" s="37">
        <v>0</v>
      </c>
      <c r="F140">
        <v>0.0103</v>
      </c>
      <c r="G140">
        <v>0.387</v>
      </c>
      <c r="I140" s="38"/>
      <c r="J140" s="39"/>
      <c r="K140" s="39"/>
      <c r="L140" s="39"/>
      <c r="M140" s="39"/>
      <c r="N140" s="40"/>
      <c r="O140" s="40"/>
    </row>
    <row r="141" spans="1:15">
      <c r="A141" s="28" t="s">
        <v>456</v>
      </c>
      <c r="B141" s="37">
        <v>0</v>
      </c>
      <c r="C141" s="37">
        <v>0</v>
      </c>
      <c r="D141" s="37">
        <v>0</v>
      </c>
      <c r="E141" s="37">
        <v>0</v>
      </c>
      <c r="F141">
        <v>0.0104</v>
      </c>
      <c r="G141">
        <v>0.372</v>
      </c>
      <c r="I141" s="38"/>
      <c r="J141" s="39"/>
      <c r="K141" s="39"/>
      <c r="L141" s="39"/>
      <c r="M141" s="39"/>
      <c r="N141" s="40"/>
      <c r="O141" s="40"/>
    </row>
    <row r="142" spans="1:15">
      <c r="A142" s="28" t="s">
        <v>457</v>
      </c>
      <c r="B142" s="37">
        <v>0</v>
      </c>
      <c r="C142" s="37">
        <v>0</v>
      </c>
      <c r="D142" s="37">
        <v>0</v>
      </c>
      <c r="E142" s="37">
        <v>0</v>
      </c>
      <c r="F142">
        <v>0.0103</v>
      </c>
      <c r="G142">
        <v>0.372</v>
      </c>
      <c r="I142" s="38"/>
      <c r="J142" s="39"/>
      <c r="K142" s="39"/>
      <c r="L142" s="39"/>
      <c r="M142" s="39"/>
      <c r="N142" s="40"/>
      <c r="O142" s="40"/>
    </row>
    <row r="143" spans="1:15">
      <c r="A143" s="28" t="s">
        <v>458</v>
      </c>
      <c r="B143" s="37">
        <v>0</v>
      </c>
      <c r="C143" s="37">
        <v>0</v>
      </c>
      <c r="D143" s="37">
        <v>0</v>
      </c>
      <c r="E143" s="37">
        <v>0</v>
      </c>
      <c r="F143">
        <v>0.0103</v>
      </c>
      <c r="G143">
        <v>0.3766</v>
      </c>
      <c r="I143" s="38"/>
      <c r="J143" s="39"/>
      <c r="K143" s="39"/>
      <c r="L143" s="39"/>
      <c r="M143" s="39"/>
      <c r="N143" s="40"/>
      <c r="O143" s="40"/>
    </row>
    <row r="144" spans="1:15">
      <c r="A144" s="28" t="s">
        <v>459</v>
      </c>
      <c r="B144" s="37">
        <v>0</v>
      </c>
      <c r="C144" s="37">
        <v>0</v>
      </c>
      <c r="D144" s="37">
        <v>0</v>
      </c>
      <c r="E144" s="37">
        <v>0</v>
      </c>
      <c r="F144">
        <v>0.0104</v>
      </c>
      <c r="G144">
        <v>0.3766</v>
      </c>
      <c r="I144" s="38"/>
      <c r="J144" s="39"/>
      <c r="K144" s="39"/>
      <c r="L144" s="39"/>
      <c r="M144" s="39"/>
      <c r="N144" s="40"/>
      <c r="O144" s="40"/>
    </row>
    <row r="145" spans="1:15">
      <c r="A145" s="28" t="s">
        <v>460</v>
      </c>
      <c r="B145" s="37">
        <v>0</v>
      </c>
      <c r="C145" s="37">
        <v>0</v>
      </c>
      <c r="D145" s="37">
        <v>0.021</v>
      </c>
      <c r="E145" s="37">
        <v>0</v>
      </c>
      <c r="F145">
        <v>0.0103</v>
      </c>
      <c r="G145">
        <v>0.3766</v>
      </c>
      <c r="I145" s="38"/>
      <c r="J145" s="39"/>
      <c r="K145" s="39"/>
      <c r="L145" s="39"/>
      <c r="M145" s="39"/>
      <c r="N145" s="40"/>
      <c r="O145" s="40"/>
    </row>
    <row r="146" spans="1:15">
      <c r="A146" s="28" t="s">
        <v>461</v>
      </c>
      <c r="B146" s="37">
        <v>0</v>
      </c>
      <c r="C146" s="37">
        <v>0</v>
      </c>
      <c r="D146" s="37">
        <v>0.021</v>
      </c>
      <c r="E146" s="37">
        <v>0</v>
      </c>
      <c r="F146">
        <v>0.0102</v>
      </c>
      <c r="G146">
        <v>0.3772</v>
      </c>
      <c r="I146" s="38"/>
      <c r="J146" s="39"/>
      <c r="K146" s="39"/>
      <c r="L146" s="39"/>
      <c r="M146" s="39"/>
      <c r="N146" s="40"/>
      <c r="O146" s="40"/>
    </row>
    <row r="147" spans="1:15">
      <c r="A147" s="28" t="s">
        <v>462</v>
      </c>
      <c r="B147" s="37">
        <v>0</v>
      </c>
      <c r="C147" s="37">
        <v>0</v>
      </c>
      <c r="D147" s="37">
        <v>0</v>
      </c>
      <c r="E147" s="37">
        <v>0</v>
      </c>
      <c r="F147">
        <v>0.0103</v>
      </c>
      <c r="G147">
        <v>0.3789</v>
      </c>
      <c r="I147" s="38"/>
      <c r="J147" s="39"/>
      <c r="K147" s="39"/>
      <c r="L147" s="39"/>
      <c r="M147" s="39"/>
      <c r="N147" s="40"/>
      <c r="O147" s="40"/>
    </row>
    <row r="148" spans="1:15">
      <c r="A148" s="28" t="s">
        <v>463</v>
      </c>
      <c r="B148" s="37">
        <v>0</v>
      </c>
      <c r="C148" s="37">
        <v>0</v>
      </c>
      <c r="D148" s="37">
        <v>0</v>
      </c>
      <c r="E148" s="37">
        <v>0</v>
      </c>
      <c r="F148">
        <v>0.0103</v>
      </c>
      <c r="G148">
        <v>0.3812</v>
      </c>
      <c r="I148" s="38"/>
      <c r="J148" s="39"/>
      <c r="K148" s="39"/>
      <c r="L148" s="39"/>
      <c r="M148" s="39"/>
      <c r="N148" s="40"/>
      <c r="O148" s="40"/>
    </row>
    <row r="149" spans="1:15">
      <c r="A149" s="28" t="s">
        <v>464</v>
      </c>
      <c r="B149" s="37">
        <v>0</v>
      </c>
      <c r="C149" s="37">
        <v>0</v>
      </c>
      <c r="D149" s="37">
        <v>0</v>
      </c>
      <c r="E149" s="37">
        <v>0</v>
      </c>
      <c r="F149">
        <v>0.0104</v>
      </c>
      <c r="G149">
        <v>0.3812</v>
      </c>
      <c r="I149" s="38"/>
      <c r="J149" s="39"/>
      <c r="K149" s="39"/>
      <c r="L149" s="39"/>
      <c r="M149" s="39"/>
      <c r="N149" s="40"/>
      <c r="O149" s="40"/>
    </row>
    <row r="150" spans="1:15">
      <c r="A150" s="28" t="s">
        <v>465</v>
      </c>
      <c r="B150" s="37">
        <v>0</v>
      </c>
      <c r="C150" s="37">
        <v>0</v>
      </c>
      <c r="D150" s="37">
        <v>0</v>
      </c>
      <c r="E150" s="37">
        <v>0</v>
      </c>
      <c r="F150">
        <v>0.0104</v>
      </c>
      <c r="G150">
        <v>0.3679</v>
      </c>
      <c r="I150" s="38"/>
      <c r="J150" s="39"/>
      <c r="K150" s="39"/>
      <c r="L150" s="39"/>
      <c r="M150" s="39"/>
      <c r="N150" s="40"/>
      <c r="O150" s="40"/>
    </row>
    <row r="151" spans="1:15">
      <c r="A151" s="28" t="s">
        <v>466</v>
      </c>
      <c r="B151" s="37">
        <v>0</v>
      </c>
      <c r="C151" s="37">
        <v>0</v>
      </c>
      <c r="D151" s="37">
        <v>0</v>
      </c>
      <c r="E151" s="37">
        <v>0</v>
      </c>
      <c r="F151">
        <v>0.0103</v>
      </c>
      <c r="G151">
        <v>0.3691</v>
      </c>
      <c r="I151" s="38"/>
      <c r="J151" s="39"/>
      <c r="K151" s="39"/>
      <c r="L151" s="39"/>
      <c r="M151" s="39"/>
      <c r="N151" s="40"/>
      <c r="O151" s="40"/>
    </row>
    <row r="152" spans="1:15">
      <c r="A152" s="28" t="s">
        <v>467</v>
      </c>
      <c r="B152" s="37">
        <v>0</v>
      </c>
      <c r="C152" s="37">
        <v>0</v>
      </c>
      <c r="D152" s="37">
        <v>0</v>
      </c>
      <c r="E152" s="37">
        <v>0</v>
      </c>
      <c r="F152">
        <v>0.0103</v>
      </c>
      <c r="G152">
        <v>0.3706</v>
      </c>
      <c r="I152" s="38"/>
      <c r="J152" s="39"/>
      <c r="K152" s="39"/>
      <c r="L152" s="39"/>
      <c r="M152" s="39"/>
      <c r="N152" s="40"/>
      <c r="O152" s="40"/>
    </row>
    <row r="153" spans="1:15">
      <c r="A153" s="28" t="s">
        <v>468</v>
      </c>
      <c r="B153" s="37">
        <v>0</v>
      </c>
      <c r="C153" s="37">
        <v>0</v>
      </c>
      <c r="D153" s="37">
        <v>0</v>
      </c>
      <c r="E153" s="37">
        <v>0</v>
      </c>
      <c r="F153">
        <v>0.0103</v>
      </c>
      <c r="G153">
        <v>0.3813</v>
      </c>
      <c r="I153" s="38"/>
      <c r="J153" s="39"/>
      <c r="K153" s="39"/>
      <c r="L153" s="39"/>
      <c r="M153" s="39"/>
      <c r="N153" s="40"/>
      <c r="O153" s="40"/>
    </row>
    <row r="154" spans="1:15">
      <c r="A154" s="28" t="s">
        <v>469</v>
      </c>
      <c r="B154" s="37">
        <v>0</v>
      </c>
      <c r="C154" s="37">
        <v>0</v>
      </c>
      <c r="D154" s="37">
        <v>0</v>
      </c>
      <c r="E154" s="37">
        <v>0</v>
      </c>
      <c r="F154">
        <v>0.0103</v>
      </c>
      <c r="G154">
        <v>0.3839</v>
      </c>
      <c r="I154" s="38"/>
      <c r="J154" s="39"/>
      <c r="K154" s="39"/>
      <c r="L154" s="39"/>
      <c r="M154" s="39"/>
      <c r="N154" s="40"/>
      <c r="O154" s="40"/>
    </row>
    <row r="155" spans="1:15">
      <c r="A155" s="28" t="s">
        <v>470</v>
      </c>
      <c r="B155" s="37">
        <v>0</v>
      </c>
      <c r="C155" s="37">
        <v>0</v>
      </c>
      <c r="D155" s="37">
        <v>0</v>
      </c>
      <c r="E155" s="37">
        <v>0</v>
      </c>
      <c r="F155">
        <v>0.0104</v>
      </c>
      <c r="G155">
        <v>0.3824</v>
      </c>
      <c r="I155" s="38"/>
      <c r="J155" s="39"/>
      <c r="K155" s="39"/>
      <c r="L155" s="39"/>
      <c r="M155" s="39"/>
      <c r="N155" s="40"/>
      <c r="O155" s="40"/>
    </row>
    <row r="156" spans="1:15">
      <c r="A156" s="28" t="s">
        <v>471</v>
      </c>
      <c r="B156" s="37">
        <v>0</v>
      </c>
      <c r="C156" s="37">
        <v>0</v>
      </c>
      <c r="D156" s="37">
        <v>0</v>
      </c>
      <c r="E156" s="37">
        <v>0</v>
      </c>
      <c r="F156">
        <v>0.0104</v>
      </c>
      <c r="G156">
        <v>0.3854</v>
      </c>
      <c r="I156" s="38"/>
      <c r="J156" s="39"/>
      <c r="K156" s="39"/>
      <c r="L156" s="39"/>
      <c r="M156" s="39"/>
      <c r="N156" s="40"/>
      <c r="O156" s="40"/>
    </row>
    <row r="157" spans="1:15">
      <c r="A157" s="28" t="s">
        <v>472</v>
      </c>
      <c r="B157" s="37">
        <v>0</v>
      </c>
      <c r="C157" s="37">
        <v>0</v>
      </c>
      <c r="D157" s="37">
        <v>0</v>
      </c>
      <c r="E157" s="37">
        <v>0</v>
      </c>
      <c r="F157">
        <v>0.0104</v>
      </c>
      <c r="G157">
        <v>0.3817</v>
      </c>
      <c r="I157" s="38"/>
      <c r="J157" s="39"/>
      <c r="K157" s="39"/>
      <c r="L157" s="39"/>
      <c r="M157" s="39"/>
      <c r="N157" s="40"/>
      <c r="O157" s="40"/>
    </row>
    <row r="158" spans="1:15">
      <c r="A158" s="28" t="s">
        <v>473</v>
      </c>
      <c r="B158" s="37">
        <v>0</v>
      </c>
      <c r="C158" s="37">
        <v>0</v>
      </c>
      <c r="D158" s="37">
        <v>0</v>
      </c>
      <c r="E158" s="37">
        <v>0</v>
      </c>
      <c r="F158">
        <v>0.0104</v>
      </c>
      <c r="G158">
        <v>0.3859</v>
      </c>
      <c r="I158" s="38"/>
      <c r="J158" s="39"/>
      <c r="K158" s="39"/>
      <c r="L158" s="39"/>
      <c r="M158" s="39"/>
      <c r="N158" s="40"/>
      <c r="O158" s="40"/>
    </row>
    <row r="159" spans="1:15">
      <c r="A159" s="28" t="s">
        <v>474</v>
      </c>
      <c r="B159" s="37">
        <v>0</v>
      </c>
      <c r="C159" s="37">
        <v>0</v>
      </c>
      <c r="D159" s="37">
        <v>0</v>
      </c>
      <c r="E159" s="37">
        <v>0</v>
      </c>
      <c r="F159">
        <v>0.0104</v>
      </c>
      <c r="G159">
        <v>0.3838</v>
      </c>
      <c r="I159" s="38"/>
      <c r="J159" s="39"/>
      <c r="K159" s="39"/>
      <c r="L159" s="39"/>
      <c r="M159" s="39"/>
      <c r="N159" s="40"/>
      <c r="O159" s="40"/>
    </row>
    <row r="160" spans="1:15">
      <c r="A160" s="28" t="s">
        <v>475</v>
      </c>
      <c r="B160" s="37">
        <v>0</v>
      </c>
      <c r="C160" s="37">
        <v>0</v>
      </c>
      <c r="D160" s="37">
        <v>0</v>
      </c>
      <c r="E160" s="37">
        <v>0</v>
      </c>
      <c r="F160">
        <v>0.0104</v>
      </c>
      <c r="G160">
        <v>0.3673</v>
      </c>
      <c r="I160" s="38"/>
      <c r="J160" s="39"/>
      <c r="K160" s="39"/>
      <c r="L160" s="39"/>
      <c r="M160" s="39"/>
      <c r="N160" s="40"/>
      <c r="O160" s="40"/>
    </row>
    <row r="161" spans="1:15">
      <c r="A161" s="28" t="s">
        <v>476</v>
      </c>
      <c r="B161" s="37">
        <v>0</v>
      </c>
      <c r="C161" s="37">
        <v>0</v>
      </c>
      <c r="D161" s="37">
        <v>0.01</v>
      </c>
      <c r="E161" s="37">
        <v>0</v>
      </c>
      <c r="F161">
        <v>0.0104</v>
      </c>
      <c r="G161">
        <v>0.3597</v>
      </c>
      <c r="I161" s="38"/>
      <c r="J161" s="39"/>
      <c r="K161" s="39"/>
      <c r="L161" s="39"/>
      <c r="M161" s="39"/>
      <c r="N161" s="40"/>
      <c r="O161" s="40"/>
    </row>
    <row r="162" spans="1:15">
      <c r="A162" s="28" t="s">
        <v>477</v>
      </c>
      <c r="B162" s="37">
        <v>0</v>
      </c>
      <c r="C162" s="37">
        <v>0</v>
      </c>
      <c r="D162" s="37">
        <v>0.01</v>
      </c>
      <c r="E162" s="37">
        <v>0</v>
      </c>
      <c r="F162">
        <v>0.0105</v>
      </c>
      <c r="G162">
        <v>0.3615</v>
      </c>
      <c r="I162" s="38"/>
      <c r="J162" s="39"/>
      <c r="K162" s="39"/>
      <c r="L162" s="39"/>
      <c r="M162" s="39"/>
      <c r="N162" s="40"/>
      <c r="O162" s="40"/>
    </row>
    <row r="163" spans="1:15">
      <c r="A163" s="28" t="s">
        <v>478</v>
      </c>
      <c r="B163" s="37">
        <v>0</v>
      </c>
      <c r="C163" s="37">
        <v>0</v>
      </c>
      <c r="D163" s="37">
        <v>0.018</v>
      </c>
      <c r="E163" s="37">
        <v>0</v>
      </c>
      <c r="F163">
        <v>0.0104</v>
      </c>
      <c r="G163">
        <v>0.363</v>
      </c>
      <c r="I163" s="38"/>
      <c r="J163" s="39"/>
      <c r="K163" s="39"/>
      <c r="L163" s="39"/>
      <c r="M163" s="39"/>
      <c r="N163" s="40"/>
      <c r="O163" s="40"/>
    </row>
    <row r="164" spans="1:15">
      <c r="A164" s="28" t="s">
        <v>479</v>
      </c>
      <c r="B164" s="37">
        <v>0</v>
      </c>
      <c r="C164" s="37">
        <v>0</v>
      </c>
      <c r="D164" s="37">
        <v>0.018</v>
      </c>
      <c r="E164" s="37">
        <v>0</v>
      </c>
      <c r="F164">
        <v>0.0105</v>
      </c>
      <c r="G164">
        <v>0.3662</v>
      </c>
      <c r="I164" s="38"/>
      <c r="J164" s="39"/>
      <c r="K164" s="39"/>
      <c r="L164" s="39"/>
      <c r="M164" s="39"/>
      <c r="N164" s="40"/>
      <c r="O164" s="40"/>
    </row>
    <row r="165" spans="1:15">
      <c r="A165" s="28" t="s">
        <v>480</v>
      </c>
      <c r="B165" s="37">
        <v>0</v>
      </c>
      <c r="C165" s="37">
        <v>0</v>
      </c>
      <c r="D165" s="37">
        <v>0</v>
      </c>
      <c r="E165" s="37">
        <v>0</v>
      </c>
      <c r="F165">
        <v>0.0106</v>
      </c>
      <c r="G165">
        <v>0.3662</v>
      </c>
      <c r="I165" s="38"/>
      <c r="J165" s="39"/>
      <c r="K165" s="39"/>
      <c r="L165" s="39"/>
      <c r="M165" s="39"/>
      <c r="N165" s="40"/>
      <c r="O165" s="40"/>
    </row>
    <row r="166" spans="1:15">
      <c r="A166" s="28" t="s">
        <v>481</v>
      </c>
      <c r="B166" s="37">
        <v>0</v>
      </c>
      <c r="C166" s="37">
        <v>0</v>
      </c>
      <c r="D166" s="37">
        <v>0</v>
      </c>
      <c r="E166" s="37">
        <v>0</v>
      </c>
      <c r="F166">
        <v>0.0105</v>
      </c>
      <c r="G166">
        <v>0.3681</v>
      </c>
      <c r="I166" s="38"/>
      <c r="J166" s="39"/>
      <c r="K166" s="39"/>
      <c r="L166" s="39"/>
      <c r="M166" s="39"/>
      <c r="N166" s="40"/>
      <c r="O166" s="40"/>
    </row>
    <row r="167" spans="1:15">
      <c r="A167" s="28" t="s">
        <v>482</v>
      </c>
      <c r="B167" s="37">
        <v>0</v>
      </c>
      <c r="C167" s="37">
        <v>0</v>
      </c>
      <c r="D167" s="37">
        <v>0</v>
      </c>
      <c r="E167" s="37">
        <v>0</v>
      </c>
      <c r="F167">
        <v>0.0105</v>
      </c>
      <c r="G167">
        <v>0.3681</v>
      </c>
      <c r="I167" s="38"/>
      <c r="J167" s="39"/>
      <c r="K167" s="39"/>
      <c r="L167" s="39"/>
      <c r="M167" s="39"/>
      <c r="N167" s="40"/>
      <c r="O167" s="40"/>
    </row>
    <row r="168" spans="1:15">
      <c r="A168" s="28" t="s">
        <v>483</v>
      </c>
      <c r="B168" s="37">
        <v>0</v>
      </c>
      <c r="C168" s="37">
        <v>0</v>
      </c>
      <c r="D168" s="37">
        <v>0.03</v>
      </c>
      <c r="E168" s="37">
        <v>0</v>
      </c>
      <c r="F168">
        <v>0.0106</v>
      </c>
      <c r="G168">
        <v>0.3736</v>
      </c>
      <c r="I168" s="38"/>
      <c r="J168" s="39"/>
      <c r="K168" s="39"/>
      <c r="L168" s="39"/>
      <c r="M168" s="39"/>
      <c r="N168" s="40"/>
      <c r="O168" s="40"/>
    </row>
    <row r="169" spans="1:15">
      <c r="A169" s="28" t="s">
        <v>484</v>
      </c>
      <c r="B169" s="37">
        <v>0</v>
      </c>
      <c r="C169" s="37">
        <v>0</v>
      </c>
      <c r="D169" s="37">
        <v>0.03</v>
      </c>
      <c r="E169" s="37">
        <v>0</v>
      </c>
      <c r="F169">
        <v>0.0105</v>
      </c>
      <c r="G169">
        <v>0.3692</v>
      </c>
      <c r="I169" s="38"/>
      <c r="J169" s="39"/>
      <c r="K169" s="39"/>
      <c r="L169" s="39"/>
      <c r="M169" s="39"/>
      <c r="N169" s="40"/>
      <c r="O169" s="40"/>
    </row>
    <row r="170" spans="1:15">
      <c r="A170" s="28" t="s">
        <v>485</v>
      </c>
      <c r="B170" s="37">
        <v>0</v>
      </c>
      <c r="C170" s="37">
        <v>0</v>
      </c>
      <c r="D170" s="37">
        <v>0.03</v>
      </c>
      <c r="E170" s="37">
        <v>0</v>
      </c>
      <c r="F170">
        <v>0.0106</v>
      </c>
      <c r="G170">
        <v>0.3692</v>
      </c>
      <c r="I170" s="38"/>
      <c r="J170" s="39"/>
      <c r="K170" s="39"/>
      <c r="L170" s="39"/>
      <c r="M170" s="39"/>
      <c r="N170" s="40"/>
      <c r="O170" s="40"/>
    </row>
    <row r="171" spans="1:15">
      <c r="A171" s="28" t="s">
        <v>486</v>
      </c>
      <c r="B171" s="37">
        <v>0</v>
      </c>
      <c r="C171" s="37">
        <v>0</v>
      </c>
      <c r="D171" s="37">
        <v>0.03</v>
      </c>
      <c r="E171" s="37">
        <v>0</v>
      </c>
      <c r="F171">
        <v>0.0106</v>
      </c>
      <c r="G171">
        <v>0.3692</v>
      </c>
      <c r="I171" s="38"/>
      <c r="J171" s="39"/>
      <c r="K171" s="39"/>
      <c r="L171" s="39"/>
      <c r="M171" s="39"/>
      <c r="N171" s="40"/>
      <c r="O171" s="40"/>
    </row>
    <row r="172" spans="1:15">
      <c r="A172" s="28" t="s">
        <v>487</v>
      </c>
      <c r="B172" s="37">
        <v>0</v>
      </c>
      <c r="C172" s="37">
        <v>0</v>
      </c>
      <c r="D172" s="37">
        <v>0.03</v>
      </c>
      <c r="E172" s="37">
        <v>0</v>
      </c>
      <c r="F172">
        <v>0.0106</v>
      </c>
      <c r="G172">
        <v>0.3727</v>
      </c>
      <c r="I172" s="38"/>
      <c r="J172" s="39"/>
      <c r="K172" s="39"/>
      <c r="L172" s="39"/>
      <c r="M172" s="39"/>
      <c r="N172" s="40"/>
      <c r="O172" s="40"/>
    </row>
    <row r="173" spans="1:15">
      <c r="A173" s="28" t="s">
        <v>488</v>
      </c>
      <c r="B173" s="37">
        <v>0</v>
      </c>
      <c r="C173" s="37">
        <v>0</v>
      </c>
      <c r="D173" s="37">
        <v>0.03</v>
      </c>
      <c r="E173" s="37">
        <v>0</v>
      </c>
      <c r="F173">
        <v>0.0106</v>
      </c>
      <c r="G173">
        <v>0.3696</v>
      </c>
      <c r="I173" s="38"/>
      <c r="J173" s="39"/>
      <c r="K173" s="39"/>
      <c r="L173" s="39"/>
      <c r="M173" s="39"/>
      <c r="N173" s="40"/>
      <c r="O173" s="40"/>
    </row>
    <row r="174" spans="1:15">
      <c r="A174" s="28" t="s">
        <v>489</v>
      </c>
      <c r="B174" s="37">
        <v>0</v>
      </c>
      <c r="C174" s="37">
        <v>0</v>
      </c>
      <c r="D174" s="37">
        <v>0</v>
      </c>
      <c r="E174" s="37">
        <v>0</v>
      </c>
      <c r="F174">
        <v>0.0106</v>
      </c>
      <c r="G174">
        <v>0.3696</v>
      </c>
      <c r="I174" s="38"/>
      <c r="J174" s="39"/>
      <c r="K174" s="39"/>
      <c r="L174" s="39"/>
      <c r="M174" s="39"/>
      <c r="N174" s="40"/>
      <c r="O174" s="40"/>
    </row>
    <row r="175" spans="1:15">
      <c r="A175" s="28" t="s">
        <v>490</v>
      </c>
      <c r="B175" s="37">
        <v>0</v>
      </c>
      <c r="C175" s="37">
        <v>0</v>
      </c>
      <c r="D175" s="37">
        <v>0</v>
      </c>
      <c r="E175" s="37">
        <v>0</v>
      </c>
      <c r="F175">
        <v>0.0106</v>
      </c>
      <c r="G175">
        <v>0.3643</v>
      </c>
      <c r="I175" s="38"/>
      <c r="J175" s="39"/>
      <c r="K175" s="39"/>
      <c r="L175" s="39"/>
      <c r="M175" s="39"/>
      <c r="N175" s="40"/>
      <c r="O175" s="40"/>
    </row>
    <row r="176" spans="1:15">
      <c r="A176" s="28" t="s">
        <v>491</v>
      </c>
      <c r="B176" s="37">
        <v>0</v>
      </c>
      <c r="C176" s="37">
        <v>0</v>
      </c>
      <c r="D176" s="37">
        <v>0</v>
      </c>
      <c r="E176" s="37">
        <v>0</v>
      </c>
      <c r="F176">
        <v>0.0105</v>
      </c>
      <c r="G176">
        <v>0.3643</v>
      </c>
      <c r="I176" s="38"/>
      <c r="J176" s="39"/>
      <c r="K176" s="39"/>
      <c r="L176" s="39"/>
      <c r="M176" s="39"/>
      <c r="N176" s="40"/>
      <c r="O176" s="40"/>
    </row>
    <row r="177" spans="1:15">
      <c r="A177" s="28" t="s">
        <v>492</v>
      </c>
      <c r="B177" s="37">
        <v>0</v>
      </c>
      <c r="C177" s="37">
        <v>0</v>
      </c>
      <c r="D177" s="37">
        <v>0</v>
      </c>
      <c r="E177" s="37">
        <v>0</v>
      </c>
      <c r="F177">
        <v>0.0105</v>
      </c>
      <c r="G177">
        <v>0.3587</v>
      </c>
      <c r="I177" s="38"/>
      <c r="J177" s="39"/>
      <c r="K177" s="39"/>
      <c r="L177" s="39"/>
      <c r="M177" s="39"/>
      <c r="N177" s="40"/>
      <c r="O177" s="40"/>
    </row>
    <row r="178" spans="1:15">
      <c r="A178" s="28" t="s">
        <v>493</v>
      </c>
      <c r="B178" s="37">
        <v>0</v>
      </c>
      <c r="C178" s="37">
        <v>0</v>
      </c>
      <c r="D178" s="37">
        <v>0.026</v>
      </c>
      <c r="E178" s="37">
        <v>0</v>
      </c>
      <c r="F178">
        <v>0.0105</v>
      </c>
      <c r="G178">
        <v>0.3494</v>
      </c>
      <c r="I178" s="38"/>
      <c r="J178" s="39"/>
      <c r="K178" s="39"/>
      <c r="L178" s="39"/>
      <c r="M178" s="39"/>
      <c r="N178" s="40"/>
      <c r="O178" s="40"/>
    </row>
    <row r="179" spans="1:15">
      <c r="A179" s="28" t="s">
        <v>494</v>
      </c>
      <c r="B179" s="37">
        <v>0</v>
      </c>
      <c r="C179" s="37">
        <v>0</v>
      </c>
      <c r="D179" s="37">
        <v>0.026</v>
      </c>
      <c r="E179" s="37">
        <v>0</v>
      </c>
      <c r="F179">
        <v>0.0105</v>
      </c>
      <c r="G179">
        <v>0.3509</v>
      </c>
      <c r="I179" s="38"/>
      <c r="J179" s="39"/>
      <c r="K179" s="39"/>
      <c r="L179" s="39"/>
      <c r="M179" s="39"/>
      <c r="N179" s="40"/>
      <c r="O179" s="40"/>
    </row>
    <row r="180" spans="1:15">
      <c r="A180" s="28" t="s">
        <v>495</v>
      </c>
      <c r="B180" s="37">
        <v>0</v>
      </c>
      <c r="C180" s="37">
        <v>0</v>
      </c>
      <c r="D180" s="37">
        <v>0.026</v>
      </c>
      <c r="E180" s="37">
        <v>0</v>
      </c>
      <c r="F180">
        <v>0.0106</v>
      </c>
      <c r="G180">
        <v>0.3526</v>
      </c>
      <c r="I180" s="38"/>
      <c r="J180" s="39"/>
      <c r="K180" s="39"/>
      <c r="L180" s="39"/>
      <c r="M180" s="39"/>
      <c r="N180" s="40"/>
      <c r="O180" s="40"/>
    </row>
    <row r="181" spans="1:15">
      <c r="A181" s="28" t="s">
        <v>496</v>
      </c>
      <c r="B181" s="37">
        <v>0</v>
      </c>
      <c r="C181" s="37">
        <v>0</v>
      </c>
      <c r="D181" s="37">
        <v>0.026</v>
      </c>
      <c r="E181" s="37">
        <v>0</v>
      </c>
      <c r="F181">
        <v>0.0105</v>
      </c>
      <c r="G181">
        <v>0.3606</v>
      </c>
      <c r="I181" s="38"/>
      <c r="J181" s="39"/>
      <c r="K181" s="39"/>
      <c r="L181" s="39"/>
      <c r="M181" s="39"/>
      <c r="N181" s="40"/>
      <c r="O181" s="40"/>
    </row>
    <row r="182" spans="1:15">
      <c r="A182" s="28" t="s">
        <v>497</v>
      </c>
      <c r="B182" s="37">
        <v>0</v>
      </c>
      <c r="C182" s="37">
        <v>0</v>
      </c>
      <c r="D182" s="37">
        <v>0.026</v>
      </c>
      <c r="E182" s="37">
        <v>0</v>
      </c>
      <c r="F182">
        <v>0.0104</v>
      </c>
      <c r="G182">
        <v>0.3625</v>
      </c>
      <c r="I182" s="38"/>
      <c r="J182" s="39"/>
      <c r="K182" s="39"/>
      <c r="L182" s="39"/>
      <c r="M182" s="39"/>
      <c r="N182" s="40"/>
      <c r="O182" s="40"/>
    </row>
    <row r="183" spans="1:15">
      <c r="A183" s="28" t="s">
        <v>498</v>
      </c>
      <c r="B183" s="37">
        <v>0</v>
      </c>
      <c r="C183" s="37">
        <v>0</v>
      </c>
      <c r="D183" s="37">
        <v>0.025</v>
      </c>
      <c r="E183" s="37">
        <v>0</v>
      </c>
      <c r="F183">
        <v>0.0105</v>
      </c>
      <c r="G183">
        <v>0.3625</v>
      </c>
      <c r="I183" s="38"/>
      <c r="J183" s="39"/>
      <c r="K183" s="39"/>
      <c r="L183" s="39"/>
      <c r="M183" s="39"/>
      <c r="N183" s="40"/>
      <c r="O183" s="40"/>
    </row>
    <row r="184" spans="1:15">
      <c r="A184" s="28" t="s">
        <v>499</v>
      </c>
      <c r="B184" s="37">
        <v>0</v>
      </c>
      <c r="C184" s="37">
        <v>0</v>
      </c>
      <c r="D184" s="37">
        <v>0.025</v>
      </c>
      <c r="E184" s="37">
        <v>0</v>
      </c>
      <c r="F184">
        <v>0.0105</v>
      </c>
      <c r="G184">
        <v>0.3616</v>
      </c>
      <c r="I184" s="38"/>
      <c r="J184" s="39"/>
      <c r="K184" s="39"/>
      <c r="L184" s="39"/>
      <c r="M184" s="39"/>
      <c r="N184" s="40"/>
      <c r="O184" s="40"/>
    </row>
    <row r="185" spans="1:15">
      <c r="A185" s="28" t="s">
        <v>500</v>
      </c>
      <c r="B185" s="37">
        <v>0</v>
      </c>
      <c r="C185" s="37">
        <v>0</v>
      </c>
      <c r="D185" s="37">
        <v>0.025</v>
      </c>
      <c r="E185" s="37">
        <v>0</v>
      </c>
      <c r="F185">
        <v>0.0102</v>
      </c>
      <c r="G185">
        <v>0.3662</v>
      </c>
      <c r="I185" s="38"/>
      <c r="J185" s="39"/>
      <c r="K185" s="39"/>
      <c r="L185" s="39"/>
      <c r="M185" s="39"/>
      <c r="N185" s="40"/>
      <c r="O185" s="40"/>
    </row>
    <row r="186" spans="1:15">
      <c r="A186" s="28" t="s">
        <v>501</v>
      </c>
      <c r="B186" s="37">
        <v>0</v>
      </c>
      <c r="C186" s="37">
        <v>0</v>
      </c>
      <c r="D186" s="37">
        <v>0.025</v>
      </c>
      <c r="E186" s="37">
        <v>0</v>
      </c>
      <c r="F186">
        <v>0.0103</v>
      </c>
      <c r="G186">
        <v>0.3682</v>
      </c>
      <c r="I186" s="38"/>
      <c r="J186" s="39"/>
      <c r="K186" s="39"/>
      <c r="L186" s="39"/>
      <c r="M186" s="39"/>
      <c r="N186" s="40"/>
      <c r="O186" s="40"/>
    </row>
    <row r="187" spans="1:15">
      <c r="A187" s="28" t="s">
        <v>502</v>
      </c>
      <c r="B187" s="37">
        <v>0</v>
      </c>
      <c r="C187" s="37">
        <v>0</v>
      </c>
      <c r="D187" s="37">
        <v>0</v>
      </c>
      <c r="E187" s="37">
        <v>0</v>
      </c>
      <c r="F187">
        <v>0.0105</v>
      </c>
      <c r="G187">
        <v>0.3682</v>
      </c>
      <c r="I187" s="38"/>
      <c r="J187" s="39"/>
      <c r="K187" s="39"/>
      <c r="L187" s="39"/>
      <c r="M187" s="39"/>
      <c r="N187" s="40"/>
      <c r="O187" s="40"/>
    </row>
    <row r="188" spans="1:15">
      <c r="A188" s="28" t="s">
        <v>503</v>
      </c>
      <c r="B188" s="37">
        <v>0</v>
      </c>
      <c r="C188" s="37">
        <v>0</v>
      </c>
      <c r="D188" s="37">
        <v>0</v>
      </c>
      <c r="E188" s="37">
        <v>0</v>
      </c>
      <c r="F188">
        <v>0.0105</v>
      </c>
      <c r="G188">
        <v>0.3757</v>
      </c>
      <c r="I188" s="38"/>
      <c r="J188" s="39"/>
      <c r="K188" s="39"/>
      <c r="L188" s="39"/>
      <c r="M188" s="39"/>
      <c r="N188" s="40"/>
      <c r="O188" s="40"/>
    </row>
    <row r="189" spans="1:15">
      <c r="A189" s="28" t="s">
        <v>504</v>
      </c>
      <c r="B189" s="37">
        <v>0</v>
      </c>
      <c r="C189" s="37">
        <v>0</v>
      </c>
      <c r="D189" s="37">
        <v>0</v>
      </c>
      <c r="E189" s="37">
        <v>0</v>
      </c>
      <c r="F189">
        <v>0.0105</v>
      </c>
      <c r="G189">
        <v>0.3747</v>
      </c>
      <c r="I189" s="38"/>
      <c r="J189" s="39"/>
      <c r="K189" s="39"/>
      <c r="L189" s="39"/>
      <c r="M189" s="39"/>
      <c r="N189" s="40"/>
      <c r="O189" s="40"/>
    </row>
    <row r="190" spans="1:15">
      <c r="A190" s="28" t="s">
        <v>505</v>
      </c>
      <c r="B190" s="37">
        <v>0</v>
      </c>
      <c r="C190" s="37">
        <v>0</v>
      </c>
      <c r="D190" s="37">
        <v>0.027</v>
      </c>
      <c r="E190" s="37">
        <v>0</v>
      </c>
      <c r="F190">
        <v>0.0104</v>
      </c>
      <c r="G190">
        <v>0.3655</v>
      </c>
      <c r="I190" s="38"/>
      <c r="J190" s="39"/>
      <c r="K190" s="39"/>
      <c r="L190" s="39"/>
      <c r="M190" s="39"/>
      <c r="N190" s="40"/>
      <c r="O190" s="40"/>
    </row>
    <row r="191" spans="1:15">
      <c r="A191" s="28" t="s">
        <v>506</v>
      </c>
      <c r="B191" s="37">
        <v>0</v>
      </c>
      <c r="C191" s="37">
        <v>0</v>
      </c>
      <c r="D191" s="37">
        <v>0.01</v>
      </c>
      <c r="E191" s="37">
        <v>0</v>
      </c>
      <c r="F191">
        <v>0.0103</v>
      </c>
      <c r="G191">
        <v>0.3655</v>
      </c>
      <c r="I191" s="38"/>
      <c r="J191" s="39"/>
      <c r="K191" s="39"/>
      <c r="L191" s="39"/>
      <c r="M191" s="39"/>
      <c r="N191" s="40"/>
      <c r="O191" s="40"/>
    </row>
    <row r="192" spans="1:15">
      <c r="A192" s="28" t="s">
        <v>507</v>
      </c>
      <c r="B192" s="37">
        <v>0</v>
      </c>
      <c r="C192" s="37">
        <v>0</v>
      </c>
      <c r="D192" s="37">
        <v>0.01</v>
      </c>
      <c r="E192" s="37">
        <v>0</v>
      </c>
      <c r="F192">
        <v>0.0103</v>
      </c>
      <c r="G192">
        <v>0.3781</v>
      </c>
      <c r="I192" s="38"/>
      <c r="J192" s="39"/>
      <c r="K192" s="39"/>
      <c r="L192" s="39"/>
      <c r="M192" s="39"/>
      <c r="N192" s="40"/>
      <c r="O192" s="40"/>
    </row>
    <row r="193" spans="1:15">
      <c r="A193" s="28" t="s">
        <v>508</v>
      </c>
      <c r="B193" s="37">
        <v>0</v>
      </c>
      <c r="C193" s="37">
        <v>0</v>
      </c>
      <c r="D193" s="37">
        <v>0.01</v>
      </c>
      <c r="E193" s="37">
        <v>0</v>
      </c>
      <c r="F193">
        <v>0.0105</v>
      </c>
      <c r="G193">
        <v>0.3781</v>
      </c>
      <c r="I193" s="38"/>
      <c r="J193" s="39"/>
      <c r="K193" s="39"/>
      <c r="L193" s="39"/>
      <c r="M193" s="39"/>
      <c r="N193" s="40"/>
      <c r="O193" s="40"/>
    </row>
    <row r="194" spans="1:15">
      <c r="A194" s="28" t="s">
        <v>509</v>
      </c>
      <c r="B194" s="37">
        <v>0</v>
      </c>
      <c r="C194" s="37">
        <v>0</v>
      </c>
      <c r="D194" s="37">
        <v>0</v>
      </c>
      <c r="E194" s="37">
        <v>0</v>
      </c>
      <c r="F194">
        <v>0.0105</v>
      </c>
      <c r="G194">
        <v>0.3899</v>
      </c>
      <c r="I194" s="38"/>
      <c r="J194" s="39"/>
      <c r="K194" s="39"/>
      <c r="L194" s="39"/>
      <c r="M194" s="39"/>
      <c r="N194" s="40"/>
      <c r="O194" s="40"/>
    </row>
    <row r="195" spans="1:15">
      <c r="A195" s="28" t="s">
        <v>510</v>
      </c>
      <c r="B195" s="37">
        <v>0</v>
      </c>
      <c r="C195" s="37">
        <v>0</v>
      </c>
      <c r="D195" s="37">
        <v>0</v>
      </c>
      <c r="E195" s="37">
        <v>0</v>
      </c>
      <c r="F195">
        <v>0.0105</v>
      </c>
      <c r="G195">
        <v>0.3899</v>
      </c>
      <c r="I195" s="38"/>
      <c r="J195" s="39"/>
      <c r="K195" s="39"/>
      <c r="L195" s="39"/>
      <c r="M195" s="39"/>
      <c r="N195" s="40"/>
      <c r="O195" s="40"/>
    </row>
    <row r="196" spans="1:15">
      <c r="A196" s="28" t="s">
        <v>511</v>
      </c>
      <c r="B196" s="37">
        <v>0</v>
      </c>
      <c r="C196" s="37">
        <v>0</v>
      </c>
      <c r="D196" s="37">
        <v>0</v>
      </c>
      <c r="E196" s="37">
        <v>0</v>
      </c>
      <c r="F196">
        <v>0.0104</v>
      </c>
      <c r="G196">
        <v>0.3856</v>
      </c>
      <c r="I196" s="38"/>
      <c r="J196" s="39"/>
      <c r="K196" s="39"/>
      <c r="L196" s="39"/>
      <c r="M196" s="39"/>
      <c r="N196" s="40"/>
      <c r="O196" s="40"/>
    </row>
    <row r="197" spans="1:15">
      <c r="A197" s="28" t="s">
        <v>512</v>
      </c>
      <c r="B197" s="37">
        <v>0</v>
      </c>
      <c r="C197" s="37">
        <v>0</v>
      </c>
      <c r="D197" s="37">
        <v>0</v>
      </c>
      <c r="E197" s="37">
        <v>0</v>
      </c>
      <c r="F197">
        <v>0.0104</v>
      </c>
      <c r="G197">
        <v>0.3855</v>
      </c>
      <c r="I197" s="38"/>
      <c r="J197" s="39"/>
      <c r="K197" s="39"/>
      <c r="L197" s="39"/>
      <c r="M197" s="39"/>
      <c r="N197" s="40"/>
      <c r="O197" s="40"/>
    </row>
    <row r="198" spans="1:15">
      <c r="A198" s="28" t="s">
        <v>513</v>
      </c>
      <c r="B198" s="37">
        <v>0</v>
      </c>
      <c r="C198" s="37">
        <v>0</v>
      </c>
      <c r="D198" s="37">
        <v>0</v>
      </c>
      <c r="E198" s="37">
        <v>0</v>
      </c>
      <c r="F198">
        <v>0.0105</v>
      </c>
      <c r="G198">
        <v>0.387</v>
      </c>
      <c r="I198" s="38"/>
      <c r="J198" s="39"/>
      <c r="K198" s="39"/>
      <c r="L198" s="39"/>
      <c r="M198" s="39"/>
      <c r="N198" s="40"/>
      <c r="O198" s="40"/>
    </row>
    <row r="199" spans="1:15">
      <c r="A199" s="28" t="s">
        <v>514</v>
      </c>
      <c r="B199" s="37">
        <v>0</v>
      </c>
      <c r="C199" s="37">
        <v>0</v>
      </c>
      <c r="D199" s="37">
        <v>0</v>
      </c>
      <c r="E199" s="37">
        <v>0</v>
      </c>
      <c r="F199">
        <v>0.0105</v>
      </c>
      <c r="G199">
        <v>0.3931</v>
      </c>
      <c r="I199" s="38"/>
      <c r="J199" s="39"/>
      <c r="K199" s="39"/>
      <c r="L199" s="39"/>
      <c r="M199" s="39"/>
      <c r="N199" s="40"/>
      <c r="O199" s="40"/>
    </row>
    <row r="200" spans="1:15">
      <c r="A200" s="28" t="s">
        <v>515</v>
      </c>
      <c r="B200" s="37">
        <v>0</v>
      </c>
      <c r="C200" s="37">
        <v>0</v>
      </c>
      <c r="D200" s="37">
        <v>0.067</v>
      </c>
      <c r="E200" s="37">
        <v>0</v>
      </c>
      <c r="F200">
        <v>0.0105</v>
      </c>
      <c r="G200">
        <v>0.3934</v>
      </c>
      <c r="I200" s="38"/>
      <c r="J200" s="39"/>
      <c r="K200" s="39"/>
      <c r="L200" s="39"/>
      <c r="M200" s="39"/>
      <c r="N200" s="40"/>
      <c r="O200" s="40"/>
    </row>
    <row r="201" spans="1:15">
      <c r="A201" s="28" t="s">
        <v>516</v>
      </c>
      <c r="B201" s="37">
        <v>0</v>
      </c>
      <c r="C201" s="37">
        <v>0</v>
      </c>
      <c r="D201" s="37">
        <v>0.024</v>
      </c>
      <c r="E201" s="37">
        <v>0</v>
      </c>
      <c r="F201">
        <v>0.0104</v>
      </c>
      <c r="G201">
        <v>0.3952</v>
      </c>
      <c r="I201" s="38"/>
      <c r="J201" s="39"/>
      <c r="K201" s="39"/>
      <c r="L201" s="39"/>
      <c r="M201" s="39"/>
      <c r="N201" s="40"/>
      <c r="O201" s="40"/>
    </row>
    <row r="202" spans="1:15">
      <c r="A202" s="28" t="s">
        <v>517</v>
      </c>
      <c r="B202" s="37">
        <v>0</v>
      </c>
      <c r="C202" s="37">
        <v>0</v>
      </c>
      <c r="D202" s="37">
        <v>0.086</v>
      </c>
      <c r="E202" s="37">
        <v>0</v>
      </c>
      <c r="F202">
        <v>0.0104</v>
      </c>
      <c r="G202">
        <v>0.3966</v>
      </c>
      <c r="I202" s="38"/>
      <c r="J202" s="39"/>
      <c r="K202" s="39"/>
      <c r="L202" s="39"/>
      <c r="M202" s="39"/>
      <c r="N202" s="40"/>
      <c r="O202" s="40"/>
    </row>
    <row r="203" spans="1:15">
      <c r="A203" s="28" t="s">
        <v>518</v>
      </c>
      <c r="B203" s="37">
        <v>0</v>
      </c>
      <c r="C203" s="37">
        <v>0</v>
      </c>
      <c r="D203" s="37">
        <v>0.085</v>
      </c>
      <c r="E203" s="37">
        <v>0</v>
      </c>
      <c r="F203">
        <v>0.0105</v>
      </c>
      <c r="G203">
        <v>0.3966</v>
      </c>
      <c r="I203" s="38"/>
      <c r="J203" s="39"/>
      <c r="K203" s="39"/>
      <c r="L203" s="39"/>
      <c r="M203" s="39"/>
      <c r="N203" s="40"/>
      <c r="O203" s="40"/>
    </row>
    <row r="204" spans="1:15">
      <c r="A204" s="28" t="s">
        <v>519</v>
      </c>
      <c r="B204" s="37">
        <v>0</v>
      </c>
      <c r="C204" s="37">
        <v>0</v>
      </c>
      <c r="D204" s="37">
        <v>0.085</v>
      </c>
      <c r="E204" s="37">
        <v>0</v>
      </c>
      <c r="F204">
        <v>0.0106</v>
      </c>
      <c r="G204">
        <v>0.4009</v>
      </c>
      <c r="I204" s="38"/>
      <c r="J204" s="39"/>
      <c r="K204" s="39"/>
      <c r="L204" s="39"/>
      <c r="M204" s="39"/>
      <c r="N204" s="40"/>
      <c r="O204" s="40"/>
    </row>
    <row r="205" spans="1:15">
      <c r="A205" s="28" t="s">
        <v>520</v>
      </c>
      <c r="B205" s="37">
        <v>0</v>
      </c>
      <c r="C205" s="37">
        <v>0</v>
      </c>
      <c r="D205" s="37">
        <v>0.024</v>
      </c>
      <c r="E205" s="37">
        <v>0</v>
      </c>
      <c r="F205">
        <v>0.0105</v>
      </c>
      <c r="G205">
        <v>0.4089</v>
      </c>
      <c r="I205" s="38"/>
      <c r="J205" s="39"/>
      <c r="K205" s="39"/>
      <c r="L205" s="39"/>
      <c r="M205" s="39"/>
      <c r="N205" s="40"/>
      <c r="O205" s="40"/>
    </row>
    <row r="206" spans="1:15">
      <c r="A206" s="28" t="s">
        <v>521</v>
      </c>
      <c r="B206" s="37">
        <v>0</v>
      </c>
      <c r="C206" s="37">
        <v>0</v>
      </c>
      <c r="D206" s="37">
        <v>0</v>
      </c>
      <c r="E206" s="37">
        <v>0</v>
      </c>
      <c r="F206">
        <v>0.0104</v>
      </c>
      <c r="G206">
        <v>0.4073</v>
      </c>
      <c r="I206" s="38"/>
      <c r="J206" s="39"/>
      <c r="K206" s="39"/>
      <c r="L206" s="39"/>
      <c r="M206" s="39"/>
      <c r="N206" s="40"/>
      <c r="O206" s="40"/>
    </row>
    <row r="207" spans="1:15">
      <c r="A207" s="28" t="s">
        <v>522</v>
      </c>
      <c r="B207" s="37">
        <v>0</v>
      </c>
      <c r="C207" s="37">
        <v>0</v>
      </c>
      <c r="D207" s="37">
        <v>0</v>
      </c>
      <c r="E207" s="37">
        <v>0</v>
      </c>
      <c r="F207">
        <v>0.0103</v>
      </c>
      <c r="G207">
        <v>0.4114</v>
      </c>
      <c r="I207" s="38"/>
      <c r="J207" s="39"/>
      <c r="K207" s="39"/>
      <c r="L207" s="39"/>
      <c r="M207" s="39"/>
      <c r="N207" s="40"/>
      <c r="O207" s="40"/>
    </row>
    <row r="208" spans="1:15">
      <c r="A208" s="28" t="s">
        <v>523</v>
      </c>
      <c r="B208" s="37">
        <v>0</v>
      </c>
      <c r="C208" s="37">
        <v>0</v>
      </c>
      <c r="D208" s="37">
        <v>0</v>
      </c>
      <c r="E208" s="37">
        <v>0</v>
      </c>
      <c r="F208">
        <v>0.0103</v>
      </c>
      <c r="G208">
        <v>0.415</v>
      </c>
      <c r="I208" s="38"/>
      <c r="J208" s="39"/>
      <c r="K208" s="39"/>
      <c r="L208" s="39"/>
      <c r="M208" s="39"/>
      <c r="N208" s="40"/>
      <c r="O208" s="40"/>
    </row>
    <row r="209" spans="1:15">
      <c r="A209" s="28" t="s">
        <v>524</v>
      </c>
      <c r="B209" s="37">
        <v>0</v>
      </c>
      <c r="C209" s="37">
        <v>0</v>
      </c>
      <c r="D209" s="37">
        <v>0.015</v>
      </c>
      <c r="E209" s="37">
        <v>0</v>
      </c>
      <c r="F209">
        <v>0.0103</v>
      </c>
      <c r="G209">
        <v>0.415</v>
      </c>
      <c r="I209" s="38"/>
      <c r="J209" s="39"/>
      <c r="K209" s="39"/>
      <c r="L209" s="39"/>
      <c r="M209" s="39"/>
      <c r="N209" s="40"/>
      <c r="O209" s="40"/>
    </row>
    <row r="210" spans="1:15">
      <c r="A210" s="28" t="s">
        <v>525</v>
      </c>
      <c r="B210" s="37">
        <v>0</v>
      </c>
      <c r="C210" s="37">
        <v>0</v>
      </c>
      <c r="D210" s="37">
        <v>0.015</v>
      </c>
      <c r="E210" s="37">
        <v>0</v>
      </c>
      <c r="F210">
        <v>0.0104</v>
      </c>
      <c r="G210">
        <v>0.4215</v>
      </c>
      <c r="I210" s="38"/>
      <c r="J210" s="39"/>
      <c r="K210" s="39"/>
      <c r="L210" s="39"/>
      <c r="M210" s="39"/>
      <c r="N210" s="40"/>
      <c r="O210" s="40"/>
    </row>
    <row r="211" spans="1:15">
      <c r="A211" s="28" t="s">
        <v>526</v>
      </c>
      <c r="B211" s="37">
        <v>0</v>
      </c>
      <c r="C211" s="37">
        <v>0</v>
      </c>
      <c r="D211" s="37">
        <v>0.015</v>
      </c>
      <c r="E211" s="37">
        <v>0</v>
      </c>
      <c r="F211">
        <v>0.0103</v>
      </c>
      <c r="G211">
        <v>0.4354</v>
      </c>
      <c r="I211" s="38"/>
      <c r="J211" s="39"/>
      <c r="K211" s="39"/>
      <c r="L211" s="39"/>
      <c r="M211" s="39"/>
      <c r="N211" s="40"/>
      <c r="O211" s="40"/>
    </row>
    <row r="212" spans="1:15">
      <c r="A212" s="28" t="s">
        <v>527</v>
      </c>
      <c r="B212" s="37">
        <v>0</v>
      </c>
      <c r="C212" s="37">
        <v>0</v>
      </c>
      <c r="D212" s="37">
        <v>0</v>
      </c>
      <c r="E212" s="37">
        <v>0</v>
      </c>
      <c r="F212">
        <v>0.0103</v>
      </c>
      <c r="G212">
        <v>0.442</v>
      </c>
      <c r="I212" s="38"/>
      <c r="J212" s="39"/>
      <c r="K212" s="39"/>
      <c r="L212" s="39"/>
      <c r="M212" s="39"/>
      <c r="N212" s="40"/>
      <c r="O212" s="40"/>
    </row>
    <row r="213" spans="1:15">
      <c r="A213" s="28" t="s">
        <v>528</v>
      </c>
      <c r="B213" s="37">
        <v>0</v>
      </c>
      <c r="C213" s="37">
        <v>0</v>
      </c>
      <c r="D213" s="37">
        <v>0.058</v>
      </c>
      <c r="E213" s="37">
        <v>0</v>
      </c>
      <c r="F213">
        <v>0.0103</v>
      </c>
      <c r="G213">
        <v>0.4461</v>
      </c>
      <c r="I213" s="38"/>
      <c r="J213" s="39"/>
      <c r="K213" s="39"/>
      <c r="L213" s="39"/>
      <c r="M213" s="39"/>
      <c r="N213" s="40"/>
      <c r="O213" s="40"/>
    </row>
    <row r="214" spans="1:15">
      <c r="A214" s="28" t="s">
        <v>529</v>
      </c>
      <c r="B214" s="37">
        <v>0</v>
      </c>
      <c r="C214" s="37">
        <v>0</v>
      </c>
      <c r="D214" s="37">
        <v>0.058</v>
      </c>
      <c r="E214" s="37">
        <v>0</v>
      </c>
      <c r="F214">
        <v>0.0103</v>
      </c>
      <c r="G214">
        <v>0.4436</v>
      </c>
      <c r="I214" s="38"/>
      <c r="J214" s="39"/>
      <c r="K214" s="39"/>
      <c r="L214" s="39"/>
      <c r="M214" s="39"/>
      <c r="N214" s="40"/>
      <c r="O214" s="40"/>
    </row>
    <row r="215" spans="1:15">
      <c r="A215" s="28" t="s">
        <v>530</v>
      </c>
      <c r="B215" s="37">
        <v>0</v>
      </c>
      <c r="C215" s="37">
        <v>0</v>
      </c>
      <c r="D215" s="37">
        <v>0.034</v>
      </c>
      <c r="E215" s="37">
        <v>0</v>
      </c>
      <c r="F215">
        <v>0.0104</v>
      </c>
      <c r="G215">
        <v>0.4554</v>
      </c>
      <c r="I215" s="38"/>
      <c r="J215" s="39"/>
      <c r="K215" s="39"/>
      <c r="L215" s="39"/>
      <c r="M215" s="39"/>
      <c r="N215" s="40"/>
      <c r="O215" s="40"/>
    </row>
    <row r="216" spans="1:15">
      <c r="A216" s="28" t="s">
        <v>531</v>
      </c>
      <c r="B216" s="37">
        <v>0</v>
      </c>
      <c r="C216" s="37">
        <v>0</v>
      </c>
      <c r="D216" s="37">
        <v>0.072</v>
      </c>
      <c r="E216" s="37">
        <v>0</v>
      </c>
      <c r="F216">
        <v>0.0104</v>
      </c>
      <c r="G216">
        <v>0.4499</v>
      </c>
      <c r="I216" s="38"/>
      <c r="J216" s="39"/>
      <c r="K216" s="39"/>
      <c r="L216" s="39"/>
      <c r="M216" s="39"/>
      <c r="N216" s="40"/>
      <c r="O216" s="40"/>
    </row>
    <row r="217" spans="1:15">
      <c r="A217" s="28" t="s">
        <v>532</v>
      </c>
      <c r="B217" s="37">
        <v>0</v>
      </c>
      <c r="C217" s="37">
        <v>0</v>
      </c>
      <c r="D217" s="37">
        <v>0.091</v>
      </c>
      <c r="E217" s="37">
        <v>0</v>
      </c>
      <c r="F217">
        <v>0.0105</v>
      </c>
      <c r="G217">
        <v>0.4499</v>
      </c>
      <c r="I217" s="38"/>
      <c r="J217" s="39"/>
      <c r="K217" s="39"/>
      <c r="L217" s="39"/>
      <c r="M217" s="39"/>
      <c r="N217" s="40"/>
      <c r="O217" s="40"/>
    </row>
    <row r="218" spans="1:15">
      <c r="A218" s="28" t="s">
        <v>533</v>
      </c>
      <c r="B218" s="37">
        <v>0</v>
      </c>
      <c r="C218" s="37">
        <v>0</v>
      </c>
      <c r="D218" s="37">
        <v>0.042</v>
      </c>
      <c r="E218" s="37">
        <v>0</v>
      </c>
      <c r="F218">
        <v>0.0106</v>
      </c>
      <c r="G218">
        <v>0.4499</v>
      </c>
      <c r="I218" s="38"/>
      <c r="J218" s="39"/>
      <c r="K218" s="39"/>
      <c r="L218" s="39"/>
      <c r="M218" s="39"/>
      <c r="N218" s="40"/>
      <c r="O218" s="40"/>
    </row>
    <row r="219" spans="1:15">
      <c r="A219" s="28" t="s">
        <v>534</v>
      </c>
      <c r="B219" s="37">
        <v>0</v>
      </c>
      <c r="C219" s="37">
        <v>0</v>
      </c>
      <c r="D219" s="37">
        <v>0.042</v>
      </c>
      <c r="E219" s="37">
        <v>0</v>
      </c>
      <c r="F219">
        <v>0.0104</v>
      </c>
      <c r="G219">
        <v>0.4573</v>
      </c>
      <c r="I219" s="38"/>
      <c r="J219" s="39"/>
      <c r="K219" s="39"/>
      <c r="L219" s="39"/>
      <c r="M219" s="39"/>
      <c r="N219" s="40"/>
      <c r="O219" s="40"/>
    </row>
    <row r="220" spans="1:15">
      <c r="A220" s="28" t="s">
        <v>535</v>
      </c>
      <c r="B220" s="37">
        <v>0</v>
      </c>
      <c r="C220" s="37">
        <v>0</v>
      </c>
      <c r="D220" s="37">
        <v>0.038</v>
      </c>
      <c r="E220" s="37">
        <v>0</v>
      </c>
      <c r="F220">
        <v>0.0105</v>
      </c>
      <c r="G220">
        <v>0.4664</v>
      </c>
      <c r="I220" s="38"/>
      <c r="J220" s="39"/>
      <c r="K220" s="39"/>
      <c r="L220" s="39"/>
      <c r="M220" s="39"/>
      <c r="N220" s="40"/>
      <c r="O220" s="40"/>
    </row>
    <row r="221" spans="1:15">
      <c r="A221" s="28" t="s">
        <v>536</v>
      </c>
      <c r="B221" s="37">
        <v>0</v>
      </c>
      <c r="C221" s="37">
        <v>0</v>
      </c>
      <c r="D221" s="37">
        <v>0.023</v>
      </c>
      <c r="E221" s="37">
        <v>0</v>
      </c>
      <c r="F221">
        <v>0.0104</v>
      </c>
      <c r="G221">
        <v>0.4702</v>
      </c>
      <c r="I221" s="38"/>
      <c r="J221" s="39"/>
      <c r="K221" s="39"/>
      <c r="L221" s="39"/>
      <c r="M221" s="39"/>
      <c r="N221" s="40"/>
      <c r="O221" s="40"/>
    </row>
    <row r="222" spans="1:15">
      <c r="A222" s="28" t="s">
        <v>537</v>
      </c>
      <c r="B222" s="37">
        <v>0</v>
      </c>
      <c r="C222" s="37">
        <v>0</v>
      </c>
      <c r="D222" s="37">
        <v>0.022</v>
      </c>
      <c r="E222" s="37">
        <v>0</v>
      </c>
      <c r="F222">
        <v>0.0105</v>
      </c>
      <c r="G222">
        <v>0.4764</v>
      </c>
      <c r="I222" s="38"/>
      <c r="J222" s="39"/>
      <c r="K222" s="39"/>
      <c r="L222" s="39"/>
      <c r="M222" s="39"/>
      <c r="N222" s="40"/>
      <c r="O222" s="40"/>
    </row>
    <row r="223" spans="1:15">
      <c r="A223" s="28" t="s">
        <v>538</v>
      </c>
      <c r="B223" s="37">
        <v>0</v>
      </c>
      <c r="C223" s="37">
        <v>0</v>
      </c>
      <c r="D223" s="37">
        <v>0.055</v>
      </c>
      <c r="E223" s="37">
        <v>0</v>
      </c>
      <c r="F223">
        <v>0.0106</v>
      </c>
      <c r="G223">
        <v>0.4823</v>
      </c>
      <c r="I223" s="38"/>
      <c r="J223" s="39"/>
      <c r="K223" s="39"/>
      <c r="L223" s="39"/>
      <c r="M223" s="39"/>
      <c r="N223" s="40"/>
      <c r="O223" s="40"/>
    </row>
    <row r="224" spans="1:15">
      <c r="A224" s="28" t="s">
        <v>539</v>
      </c>
      <c r="B224" s="37">
        <v>0</v>
      </c>
      <c r="C224" s="37">
        <v>0</v>
      </c>
      <c r="D224" s="37">
        <v>0.022</v>
      </c>
      <c r="E224" s="37">
        <v>0</v>
      </c>
      <c r="F224">
        <v>0.0106</v>
      </c>
      <c r="G224">
        <v>0.4768</v>
      </c>
      <c r="I224" s="38"/>
      <c r="J224" s="39"/>
      <c r="K224" s="39"/>
      <c r="L224" s="39"/>
      <c r="M224" s="39"/>
      <c r="N224" s="40"/>
      <c r="O224" s="40"/>
    </row>
    <row r="225" spans="1:15">
      <c r="A225" s="28" t="s">
        <v>540</v>
      </c>
      <c r="B225" s="37">
        <v>0</v>
      </c>
      <c r="C225" s="37">
        <v>0</v>
      </c>
      <c r="D225" s="37">
        <v>0</v>
      </c>
      <c r="E225" s="37">
        <v>0</v>
      </c>
      <c r="F225">
        <v>0.0107</v>
      </c>
      <c r="G225">
        <v>0.4803</v>
      </c>
      <c r="I225" s="38"/>
      <c r="J225" s="39"/>
      <c r="K225" s="39"/>
      <c r="L225" s="39"/>
      <c r="M225" s="39"/>
      <c r="N225" s="40"/>
      <c r="O225" s="40"/>
    </row>
    <row r="226" spans="1:15">
      <c r="A226" s="28" t="s">
        <v>541</v>
      </c>
      <c r="B226" s="37">
        <v>0</v>
      </c>
      <c r="C226" s="37">
        <v>0</v>
      </c>
      <c r="D226" s="37">
        <v>0</v>
      </c>
      <c r="E226" s="37">
        <v>0</v>
      </c>
      <c r="F226">
        <v>0.0108</v>
      </c>
      <c r="G226">
        <v>0.4784</v>
      </c>
      <c r="I226" s="38"/>
      <c r="J226" s="39"/>
      <c r="K226" s="39"/>
      <c r="L226" s="39"/>
      <c r="M226" s="39"/>
      <c r="N226" s="40"/>
      <c r="O226" s="40"/>
    </row>
    <row r="227" spans="1:15">
      <c r="A227" s="28" t="s">
        <v>542</v>
      </c>
      <c r="B227" s="37">
        <v>0</v>
      </c>
      <c r="C227" s="37">
        <v>0</v>
      </c>
      <c r="D227" s="37">
        <v>0</v>
      </c>
      <c r="E227" s="37">
        <v>0</v>
      </c>
      <c r="F227">
        <v>0.0109</v>
      </c>
      <c r="G227">
        <v>0.474</v>
      </c>
      <c r="I227" s="38"/>
      <c r="J227" s="39"/>
      <c r="K227" s="39"/>
      <c r="L227" s="39"/>
      <c r="M227" s="39"/>
      <c r="N227" s="40"/>
      <c r="O227" s="40"/>
    </row>
    <row r="228" spans="1:15">
      <c r="A228" s="28" t="s">
        <v>543</v>
      </c>
      <c r="B228" s="37">
        <v>0</v>
      </c>
      <c r="C228" s="37">
        <v>0</v>
      </c>
      <c r="D228" s="37">
        <v>0</v>
      </c>
      <c r="E228" s="37">
        <v>0</v>
      </c>
      <c r="F228">
        <v>0.0109</v>
      </c>
      <c r="G228">
        <v>0.4719</v>
      </c>
      <c r="I228" s="38"/>
      <c r="J228" s="39"/>
      <c r="K228" s="39"/>
      <c r="L228" s="39"/>
      <c r="M228" s="39"/>
      <c r="N228" s="40"/>
      <c r="O228" s="40"/>
    </row>
    <row r="229" spans="1:15">
      <c r="A229" s="28" t="s">
        <v>544</v>
      </c>
      <c r="B229" s="37">
        <v>0</v>
      </c>
      <c r="C229" s="37">
        <v>0</v>
      </c>
      <c r="D229" s="37">
        <v>0</v>
      </c>
      <c r="E229" s="37">
        <v>0</v>
      </c>
      <c r="F229">
        <v>0.0108</v>
      </c>
      <c r="G229">
        <v>0.4719</v>
      </c>
      <c r="I229" s="38"/>
      <c r="J229" s="39"/>
      <c r="K229" s="39"/>
      <c r="L229" s="39"/>
      <c r="M229" s="39"/>
      <c r="N229" s="40"/>
      <c r="O229" s="40"/>
    </row>
    <row r="230" spans="1:15">
      <c r="A230" s="28" t="s">
        <v>545</v>
      </c>
      <c r="B230" s="37">
        <v>0</v>
      </c>
      <c r="C230" s="37">
        <v>0</v>
      </c>
      <c r="D230" s="37">
        <v>0.022</v>
      </c>
      <c r="E230" s="37">
        <v>0</v>
      </c>
      <c r="F230">
        <v>0.0108</v>
      </c>
      <c r="G230">
        <v>0.4805</v>
      </c>
      <c r="I230" s="38"/>
      <c r="J230" s="39"/>
      <c r="K230" s="39"/>
      <c r="L230" s="39"/>
      <c r="M230" s="39"/>
      <c r="N230" s="40"/>
      <c r="O230" s="40"/>
    </row>
    <row r="231" spans="1:15">
      <c r="A231" s="28" t="s">
        <v>546</v>
      </c>
      <c r="B231" s="37">
        <v>0</v>
      </c>
      <c r="C231" s="37">
        <v>0</v>
      </c>
      <c r="D231" s="37">
        <v>0.021</v>
      </c>
      <c r="E231" s="37">
        <v>0</v>
      </c>
      <c r="F231">
        <v>0.011</v>
      </c>
      <c r="G231">
        <v>0.493</v>
      </c>
      <c r="I231" s="38"/>
      <c r="J231" s="39"/>
      <c r="K231" s="39"/>
      <c r="L231" s="39"/>
      <c r="M231" s="39"/>
      <c r="N231" s="40"/>
      <c r="O231" s="40"/>
    </row>
    <row r="232" spans="1:15">
      <c r="A232" s="28" t="s">
        <v>547</v>
      </c>
      <c r="B232" s="37">
        <v>0</v>
      </c>
      <c r="C232" s="37">
        <v>0</v>
      </c>
      <c r="D232" s="37">
        <v>0.079</v>
      </c>
      <c r="E232" s="37">
        <v>0</v>
      </c>
      <c r="F232">
        <v>0.0109</v>
      </c>
      <c r="G232">
        <v>0.493</v>
      </c>
      <c r="I232" s="38"/>
      <c r="J232" s="39"/>
      <c r="K232" s="39"/>
      <c r="L232" s="39"/>
      <c r="M232" s="39"/>
      <c r="N232" s="40"/>
      <c r="O232" s="40"/>
    </row>
    <row r="233" spans="1:15">
      <c r="A233" s="28" t="s">
        <v>548</v>
      </c>
      <c r="B233" s="37">
        <v>0</v>
      </c>
      <c r="C233" s="37">
        <v>0</v>
      </c>
      <c r="D233" s="37">
        <v>0.057</v>
      </c>
      <c r="E233" s="37">
        <v>0</v>
      </c>
      <c r="F233">
        <v>0.011</v>
      </c>
      <c r="G233">
        <v>0.5002</v>
      </c>
      <c r="I233" s="38"/>
      <c r="J233" s="39"/>
      <c r="K233" s="39"/>
      <c r="L233" s="39"/>
      <c r="M233" s="39"/>
      <c r="N233" s="40"/>
      <c r="O233" s="40"/>
    </row>
    <row r="234" spans="1:15">
      <c r="A234" s="28" t="s">
        <v>549</v>
      </c>
      <c r="B234" s="37">
        <v>0</v>
      </c>
      <c r="C234" s="37">
        <v>0</v>
      </c>
      <c r="D234" s="37">
        <v>0.008</v>
      </c>
      <c r="E234" s="37">
        <v>0</v>
      </c>
      <c r="F234">
        <v>0.0109</v>
      </c>
      <c r="G234">
        <v>0.503</v>
      </c>
      <c r="I234" s="38"/>
      <c r="J234" s="39"/>
      <c r="K234" s="39"/>
      <c r="L234" s="39"/>
      <c r="M234" s="39"/>
      <c r="N234" s="40"/>
      <c r="O234" s="40"/>
    </row>
    <row r="235" spans="1:15">
      <c r="A235" s="28" t="s">
        <v>550</v>
      </c>
      <c r="B235" s="37">
        <v>0</v>
      </c>
      <c r="C235" s="37">
        <v>0</v>
      </c>
      <c r="D235" s="37">
        <v>0.046</v>
      </c>
      <c r="E235" s="37">
        <v>0</v>
      </c>
      <c r="F235">
        <v>0.011</v>
      </c>
      <c r="G235">
        <v>0.491</v>
      </c>
      <c r="I235" s="38"/>
      <c r="J235" s="39"/>
      <c r="K235" s="39"/>
      <c r="L235" s="39"/>
      <c r="M235" s="39"/>
      <c r="N235" s="40"/>
      <c r="O235" s="40"/>
    </row>
    <row r="236" spans="1:15">
      <c r="A236" s="28" t="s">
        <v>551</v>
      </c>
      <c r="B236" s="37">
        <v>0</v>
      </c>
      <c r="C236" s="37">
        <v>0</v>
      </c>
      <c r="D236" s="37">
        <v>0.045</v>
      </c>
      <c r="E236" s="37">
        <v>0</v>
      </c>
      <c r="F236">
        <v>0.0111</v>
      </c>
      <c r="G236">
        <v>0.4868</v>
      </c>
      <c r="I236" s="38"/>
      <c r="J236" s="39"/>
      <c r="K236" s="39"/>
      <c r="L236" s="39"/>
      <c r="M236" s="39"/>
      <c r="N236" s="40"/>
      <c r="O236" s="40"/>
    </row>
    <row r="237" spans="1:15">
      <c r="A237" s="28" t="s">
        <v>552</v>
      </c>
      <c r="B237" s="37">
        <v>0</v>
      </c>
      <c r="C237" s="37">
        <v>0</v>
      </c>
      <c r="D237" s="37">
        <v>0.045</v>
      </c>
      <c r="E237" s="37">
        <v>0</v>
      </c>
      <c r="F237">
        <v>0.011</v>
      </c>
      <c r="G237">
        <v>0.488</v>
      </c>
      <c r="I237" s="38"/>
      <c r="J237" s="39"/>
      <c r="K237" s="39"/>
      <c r="L237" s="39"/>
      <c r="M237" s="39"/>
      <c r="N237" s="40"/>
      <c r="O237" s="40"/>
    </row>
    <row r="238" spans="1:15">
      <c r="A238" s="28" t="s">
        <v>553</v>
      </c>
      <c r="B238" s="37">
        <v>0.001</v>
      </c>
      <c r="C238" s="37">
        <v>0</v>
      </c>
      <c r="D238" s="37">
        <v>0.093</v>
      </c>
      <c r="E238" s="37">
        <v>0</v>
      </c>
      <c r="F238">
        <v>0.011</v>
      </c>
      <c r="G238">
        <v>0.4997</v>
      </c>
      <c r="I238" s="38"/>
      <c r="J238" s="39"/>
      <c r="K238" s="39"/>
      <c r="L238" s="39"/>
      <c r="M238" s="39"/>
      <c r="N238" s="40"/>
      <c r="O238" s="40"/>
    </row>
    <row r="239" spans="1:15">
      <c r="A239" s="28" t="s">
        <v>554</v>
      </c>
      <c r="B239" s="37">
        <v>0.001</v>
      </c>
      <c r="C239" s="37">
        <v>0</v>
      </c>
      <c r="D239" s="37">
        <v>0.092</v>
      </c>
      <c r="E239" s="37">
        <v>0</v>
      </c>
      <c r="F239">
        <v>0.0111</v>
      </c>
      <c r="G239">
        <v>0.5013</v>
      </c>
      <c r="I239" s="38"/>
      <c r="J239" s="39"/>
      <c r="K239" s="39"/>
      <c r="L239" s="39"/>
      <c r="M239" s="39"/>
      <c r="N239" s="40"/>
      <c r="O239" s="40"/>
    </row>
    <row r="240" spans="1:15">
      <c r="A240" s="28" t="s">
        <v>555</v>
      </c>
      <c r="B240" s="37">
        <v>0.001</v>
      </c>
      <c r="C240" s="37">
        <v>0.005</v>
      </c>
      <c r="D240" s="37">
        <v>0.156</v>
      </c>
      <c r="E240" s="37">
        <v>0.933</v>
      </c>
      <c r="F240">
        <v>0.0112</v>
      </c>
      <c r="G240">
        <v>0.5031</v>
      </c>
      <c r="I240" s="38"/>
      <c r="J240" s="39"/>
      <c r="K240" s="39"/>
      <c r="L240" s="39"/>
      <c r="M240" s="39"/>
      <c r="N240" s="40"/>
      <c r="O240" s="40"/>
    </row>
    <row r="241" spans="1:15">
      <c r="A241" s="28" t="s">
        <v>556</v>
      </c>
      <c r="B241" s="37">
        <v>0.001</v>
      </c>
      <c r="C241" s="37">
        <v>0.005</v>
      </c>
      <c r="D241" s="37">
        <v>0.106</v>
      </c>
      <c r="E241" s="37">
        <v>0.923</v>
      </c>
      <c r="F241">
        <v>0.0112</v>
      </c>
      <c r="G241">
        <v>0.5138</v>
      </c>
      <c r="I241" s="38"/>
      <c r="J241" s="39"/>
      <c r="K241" s="39"/>
      <c r="L241" s="39"/>
      <c r="M241" s="39"/>
      <c r="N241" s="40"/>
      <c r="O241" s="40"/>
    </row>
    <row r="242" spans="1:15">
      <c r="A242" s="28" t="s">
        <v>557</v>
      </c>
      <c r="B242" s="37">
        <v>0.001</v>
      </c>
      <c r="C242" s="37">
        <v>0.005</v>
      </c>
      <c r="D242" s="37">
        <v>0.095</v>
      </c>
      <c r="E242" s="37">
        <v>0.881</v>
      </c>
      <c r="F242">
        <v>0.0111</v>
      </c>
      <c r="G242">
        <v>0.5148</v>
      </c>
      <c r="I242" s="38"/>
      <c r="J242" s="39"/>
      <c r="K242" s="39"/>
      <c r="L242" s="39"/>
      <c r="M242" s="39"/>
      <c r="N242" s="40"/>
      <c r="O242" s="40"/>
    </row>
    <row r="243" spans="1:15">
      <c r="A243" s="28" t="s">
        <v>558</v>
      </c>
      <c r="B243" s="37">
        <v>0.001</v>
      </c>
      <c r="C243" s="37">
        <v>0.005</v>
      </c>
      <c r="D243" s="37">
        <v>0.108</v>
      </c>
      <c r="E243" s="37">
        <v>0.879</v>
      </c>
      <c r="F243">
        <v>0.0111</v>
      </c>
      <c r="G243">
        <v>0.5158</v>
      </c>
      <c r="I243" s="38"/>
      <c r="J243" s="39"/>
      <c r="K243" s="39"/>
      <c r="L243" s="39"/>
      <c r="M243" s="39"/>
      <c r="N243" s="40"/>
      <c r="O243" s="40"/>
    </row>
    <row r="244" spans="1:15">
      <c r="A244" s="28" t="s">
        <v>559</v>
      </c>
      <c r="B244" s="37">
        <v>0.001</v>
      </c>
      <c r="C244" s="37">
        <v>0.005</v>
      </c>
      <c r="D244" s="37">
        <v>0.122</v>
      </c>
      <c r="E244" s="37">
        <v>0.884</v>
      </c>
      <c r="F244">
        <v>0.0113</v>
      </c>
      <c r="G244">
        <v>0.5307</v>
      </c>
      <c r="I244" s="38"/>
      <c r="J244" s="39"/>
      <c r="K244" s="39"/>
      <c r="L244" s="39"/>
      <c r="M244" s="39"/>
      <c r="N244" s="40"/>
      <c r="O244" s="40"/>
    </row>
    <row r="245" spans="1:15">
      <c r="A245" s="28" t="s">
        <v>560</v>
      </c>
      <c r="B245" s="37">
        <v>0.001</v>
      </c>
      <c r="C245" s="37">
        <v>0.005</v>
      </c>
      <c r="D245" s="37">
        <v>0.178</v>
      </c>
      <c r="E245" s="37">
        <v>0.884</v>
      </c>
      <c r="F245">
        <v>0.0115</v>
      </c>
      <c r="G245">
        <v>0.5349</v>
      </c>
      <c r="I245" s="38"/>
      <c r="J245" s="39"/>
      <c r="K245" s="39"/>
      <c r="L245" s="39"/>
      <c r="M245" s="39"/>
      <c r="N245" s="40"/>
      <c r="O245" s="40"/>
    </row>
    <row r="246" spans="1:15">
      <c r="A246" s="28" t="s">
        <v>561</v>
      </c>
      <c r="B246" s="37">
        <v>0.001</v>
      </c>
      <c r="C246" s="37">
        <v>0.005</v>
      </c>
      <c r="D246" s="37">
        <v>0.151</v>
      </c>
      <c r="E246" s="37">
        <v>0.865</v>
      </c>
      <c r="F246">
        <v>0.0114</v>
      </c>
      <c r="G246">
        <v>0.5329</v>
      </c>
      <c r="I246" s="38"/>
      <c r="J246" s="39"/>
      <c r="K246" s="39"/>
      <c r="L246" s="39"/>
      <c r="M246" s="39"/>
      <c r="N246" s="40"/>
      <c r="O246" s="40"/>
    </row>
    <row r="247" spans="1:15">
      <c r="A247" s="28" t="s">
        <v>562</v>
      </c>
      <c r="B247" s="37">
        <v>0.001</v>
      </c>
      <c r="C247" s="37">
        <v>0.005</v>
      </c>
      <c r="D247" s="37">
        <v>0.181</v>
      </c>
      <c r="E247" s="37">
        <v>0.873</v>
      </c>
      <c r="F247">
        <v>0.0115</v>
      </c>
      <c r="G247">
        <v>0.5391</v>
      </c>
      <c r="I247" s="38"/>
      <c r="J247" s="39"/>
      <c r="K247" s="39"/>
      <c r="L247" s="39"/>
      <c r="M247" s="39"/>
      <c r="N247" s="40"/>
      <c r="O247" s="40"/>
    </row>
    <row r="248" spans="1:15">
      <c r="A248" s="28" t="s">
        <v>563</v>
      </c>
      <c r="B248" s="37">
        <v>0.001</v>
      </c>
      <c r="C248" s="37">
        <v>0.005</v>
      </c>
      <c r="D248" s="37">
        <v>0.181</v>
      </c>
      <c r="E248" s="37">
        <v>0.865</v>
      </c>
      <c r="F248">
        <v>0.0116</v>
      </c>
      <c r="G248">
        <v>0.5533</v>
      </c>
      <c r="I248" s="38"/>
      <c r="J248" s="39"/>
      <c r="K248" s="39"/>
      <c r="L248" s="39"/>
      <c r="M248" s="39"/>
      <c r="N248" s="40"/>
      <c r="O248" s="40"/>
    </row>
    <row r="249" spans="1:15">
      <c r="A249" s="28" t="s">
        <v>564</v>
      </c>
      <c r="B249" s="37">
        <v>0.001</v>
      </c>
      <c r="C249" s="37">
        <v>0.005</v>
      </c>
      <c r="D249" s="37">
        <v>0.175</v>
      </c>
      <c r="E249" s="37">
        <v>0.863</v>
      </c>
      <c r="F249">
        <v>0.0117</v>
      </c>
      <c r="G249">
        <v>0.526</v>
      </c>
      <c r="I249" s="38"/>
      <c r="J249" s="39"/>
      <c r="K249" s="39"/>
      <c r="L249" s="39"/>
      <c r="M249" s="39"/>
      <c r="N249" s="40"/>
      <c r="O249" s="40"/>
    </row>
    <row r="250" spans="1:15">
      <c r="A250" s="28" t="s">
        <v>565</v>
      </c>
      <c r="B250" s="37">
        <v>0.001</v>
      </c>
      <c r="C250" s="37">
        <v>0.005</v>
      </c>
      <c r="D250" s="37">
        <v>0.175</v>
      </c>
      <c r="E250" s="37">
        <v>0.862</v>
      </c>
      <c r="F250">
        <v>0.0116</v>
      </c>
      <c r="G250">
        <v>0.5297</v>
      </c>
      <c r="I250" s="38"/>
      <c r="J250" s="39"/>
      <c r="K250" s="39"/>
      <c r="L250" s="39"/>
      <c r="M250" s="39"/>
      <c r="N250" s="40"/>
      <c r="O250" s="40"/>
    </row>
    <row r="251" spans="1:15">
      <c r="A251" s="28" t="s">
        <v>566</v>
      </c>
      <c r="B251" s="37">
        <v>0.001</v>
      </c>
      <c r="C251" s="37">
        <v>0.005</v>
      </c>
      <c r="D251" s="37">
        <v>0.173</v>
      </c>
      <c r="E251" s="37">
        <v>0.837</v>
      </c>
      <c r="F251">
        <v>0.0116</v>
      </c>
      <c r="G251">
        <v>0.5297</v>
      </c>
      <c r="I251" s="38"/>
      <c r="J251" s="39"/>
      <c r="K251" s="39"/>
      <c r="L251" s="39"/>
      <c r="M251" s="39"/>
      <c r="N251" s="40"/>
      <c r="O251" s="40"/>
    </row>
    <row r="252" spans="1:15">
      <c r="A252" s="28" t="s">
        <v>567</v>
      </c>
      <c r="B252" s="37">
        <v>0.001</v>
      </c>
      <c r="C252" s="37">
        <v>0.005</v>
      </c>
      <c r="D252" s="37">
        <v>0.183</v>
      </c>
      <c r="E252" s="37">
        <v>0.819</v>
      </c>
      <c r="F252">
        <v>0.0116</v>
      </c>
      <c r="G252">
        <v>0.536</v>
      </c>
      <c r="I252" s="38"/>
      <c r="J252" s="39"/>
      <c r="K252" s="39"/>
      <c r="L252" s="39"/>
      <c r="M252" s="39"/>
      <c r="N252" s="40"/>
      <c r="O252" s="40"/>
    </row>
    <row r="253" spans="1:15">
      <c r="A253" s="28" t="s">
        <v>568</v>
      </c>
      <c r="B253" s="37">
        <v>0.001</v>
      </c>
      <c r="C253" s="37">
        <v>0.005</v>
      </c>
      <c r="D253" s="37">
        <v>0.214</v>
      </c>
      <c r="E253" s="37">
        <v>0.803</v>
      </c>
      <c r="F253">
        <v>0.0117</v>
      </c>
      <c r="G253">
        <v>0.5428</v>
      </c>
      <c r="I253" s="38"/>
      <c r="J253" s="39"/>
      <c r="K253" s="39"/>
      <c r="L253" s="39"/>
      <c r="M253" s="39"/>
      <c r="N253" s="40"/>
      <c r="O253" s="40"/>
    </row>
    <row r="254" spans="1:15">
      <c r="A254" s="28" t="s">
        <v>569</v>
      </c>
      <c r="B254" s="37">
        <v>0.001</v>
      </c>
      <c r="C254" s="37">
        <v>0.005</v>
      </c>
      <c r="D254" s="37">
        <v>0.212</v>
      </c>
      <c r="E254" s="37">
        <v>0.803</v>
      </c>
      <c r="F254">
        <v>0.0117</v>
      </c>
      <c r="G254">
        <v>0.551</v>
      </c>
      <c r="I254" s="38"/>
      <c r="J254" s="39"/>
      <c r="K254" s="39"/>
      <c r="L254" s="39"/>
      <c r="M254" s="39"/>
      <c r="N254" s="40"/>
      <c r="O254" s="40"/>
    </row>
    <row r="255" spans="1:15">
      <c r="A255" s="28" t="s">
        <v>570</v>
      </c>
      <c r="B255" s="37">
        <v>0.001</v>
      </c>
      <c r="C255" s="37">
        <v>0</v>
      </c>
      <c r="D255" s="37">
        <v>0.182</v>
      </c>
      <c r="E255" s="37">
        <v>0</v>
      </c>
      <c r="F255">
        <v>0.0119</v>
      </c>
      <c r="G255">
        <v>0.5516</v>
      </c>
      <c r="I255" s="38"/>
      <c r="J255" s="39"/>
      <c r="K255" s="39"/>
      <c r="L255" s="39"/>
      <c r="M255" s="39"/>
      <c r="N255" s="40"/>
      <c r="O255" s="40"/>
    </row>
    <row r="256" spans="1:15">
      <c r="A256" s="28" t="s">
        <v>571</v>
      </c>
      <c r="B256" s="37">
        <v>0.001</v>
      </c>
      <c r="C256" s="37">
        <v>0</v>
      </c>
      <c r="D256" s="37">
        <v>0.169</v>
      </c>
      <c r="E256" s="37">
        <v>0</v>
      </c>
      <c r="F256">
        <v>0.012</v>
      </c>
      <c r="G256">
        <v>0.5613</v>
      </c>
      <c r="I256" s="38"/>
      <c r="J256" s="39"/>
      <c r="K256" s="39"/>
      <c r="L256" s="39"/>
      <c r="M256" s="39"/>
      <c r="N256" s="40"/>
      <c r="O256" s="40"/>
    </row>
    <row r="257" spans="1:15">
      <c r="A257" s="28" t="s">
        <v>572</v>
      </c>
      <c r="B257" s="37">
        <v>0.001</v>
      </c>
      <c r="C257" s="37">
        <v>0</v>
      </c>
      <c r="D257" s="37">
        <v>0.17</v>
      </c>
      <c r="E257" s="37">
        <v>0</v>
      </c>
      <c r="F257">
        <v>0.0121</v>
      </c>
      <c r="G257">
        <v>0.5714</v>
      </c>
      <c r="I257" s="38"/>
      <c r="J257" s="39"/>
      <c r="K257" s="39"/>
      <c r="L257" s="39"/>
      <c r="M257" s="39"/>
      <c r="N257" s="40"/>
      <c r="O257" s="40"/>
    </row>
    <row r="258" spans="1:15">
      <c r="A258" s="28" t="s">
        <v>573</v>
      </c>
      <c r="B258" s="37">
        <v>0.001</v>
      </c>
      <c r="C258" s="37">
        <v>0</v>
      </c>
      <c r="D258" s="37">
        <v>0.216</v>
      </c>
      <c r="E258" s="37">
        <v>0</v>
      </c>
      <c r="F258">
        <v>0.0121</v>
      </c>
      <c r="G258">
        <v>0.5778</v>
      </c>
      <c r="I258" s="38"/>
      <c r="J258" s="39"/>
      <c r="K258" s="39"/>
      <c r="L258" s="39"/>
      <c r="M258" s="39"/>
      <c r="N258" s="40"/>
      <c r="O258" s="40"/>
    </row>
    <row r="259" spans="1:15">
      <c r="A259" s="28" t="s">
        <v>574</v>
      </c>
      <c r="B259" s="37">
        <v>0.001</v>
      </c>
      <c r="C259" s="37">
        <v>0</v>
      </c>
      <c r="D259" s="37">
        <v>0.227</v>
      </c>
      <c r="E259" s="37">
        <v>0</v>
      </c>
      <c r="F259">
        <v>0.0121</v>
      </c>
      <c r="G259">
        <v>0.5778</v>
      </c>
      <c r="I259" s="38"/>
      <c r="J259" s="39"/>
      <c r="K259" s="39"/>
      <c r="L259" s="39"/>
      <c r="M259" s="39"/>
      <c r="N259" s="40"/>
      <c r="O259" s="40"/>
    </row>
    <row r="260" spans="1:15">
      <c r="A260" s="28" t="s">
        <v>575</v>
      </c>
      <c r="B260" s="37">
        <v>0.001</v>
      </c>
      <c r="C260" s="37">
        <v>0</v>
      </c>
      <c r="D260" s="37">
        <v>0.194</v>
      </c>
      <c r="E260" s="37">
        <v>0</v>
      </c>
      <c r="F260">
        <v>0.0121</v>
      </c>
      <c r="G260">
        <v>0.577</v>
      </c>
      <c r="I260" s="38"/>
      <c r="J260" s="39"/>
      <c r="K260" s="39"/>
      <c r="L260" s="39"/>
      <c r="M260" s="39"/>
      <c r="N260" s="40"/>
      <c r="O260" s="40"/>
    </row>
    <row r="261" spans="1:15">
      <c r="A261" s="28" t="s">
        <v>576</v>
      </c>
      <c r="B261" s="37">
        <v>0.001</v>
      </c>
      <c r="C261" s="37">
        <v>0</v>
      </c>
      <c r="D261" s="37">
        <v>0.192</v>
      </c>
      <c r="E261" s="37">
        <v>0</v>
      </c>
      <c r="F261">
        <v>0.0121</v>
      </c>
      <c r="G261">
        <v>0.5976</v>
      </c>
      <c r="I261" s="38"/>
      <c r="J261" s="39"/>
      <c r="K261" s="39"/>
      <c r="L261" s="39"/>
      <c r="M261" s="39"/>
      <c r="N261" s="40"/>
      <c r="O261" s="40"/>
    </row>
    <row r="262" spans="1:15">
      <c r="A262" s="28" t="s">
        <v>577</v>
      </c>
      <c r="B262" s="37">
        <v>0.002</v>
      </c>
      <c r="C262" s="37">
        <v>0</v>
      </c>
      <c r="D262" s="37">
        <v>0.233</v>
      </c>
      <c r="E262" s="37">
        <v>0</v>
      </c>
      <c r="F262">
        <v>0.0121</v>
      </c>
      <c r="G262">
        <v>0.6139</v>
      </c>
      <c r="I262" s="38"/>
      <c r="J262" s="39"/>
      <c r="K262" s="39"/>
      <c r="L262" s="39"/>
      <c r="M262" s="39"/>
      <c r="N262" s="40"/>
      <c r="O262" s="40"/>
    </row>
    <row r="263" spans="1:15">
      <c r="A263" s="28" t="s">
        <v>578</v>
      </c>
      <c r="B263" s="37">
        <v>0.002</v>
      </c>
      <c r="C263" s="37">
        <v>0</v>
      </c>
      <c r="D263" s="37">
        <v>0.297</v>
      </c>
      <c r="E263" s="37">
        <v>0</v>
      </c>
      <c r="F263">
        <v>0.0124</v>
      </c>
      <c r="G263">
        <v>0.6447</v>
      </c>
      <c r="I263" s="38"/>
      <c r="J263" s="39"/>
      <c r="K263" s="39"/>
      <c r="L263" s="39"/>
      <c r="M263" s="39"/>
      <c r="N263" s="40"/>
      <c r="O263" s="40"/>
    </row>
    <row r="264" spans="1:15">
      <c r="A264" s="28" t="s">
        <v>579</v>
      </c>
      <c r="B264" s="37">
        <v>0.002</v>
      </c>
      <c r="C264" s="37">
        <v>0</v>
      </c>
      <c r="D264" s="37">
        <v>0.242</v>
      </c>
      <c r="E264" s="37">
        <v>0</v>
      </c>
      <c r="F264">
        <v>0.0123</v>
      </c>
      <c r="G264">
        <v>0.6419</v>
      </c>
      <c r="I264" s="38"/>
      <c r="J264" s="39"/>
      <c r="K264" s="39"/>
      <c r="L264" s="39"/>
      <c r="M264" s="39"/>
      <c r="N264" s="40"/>
      <c r="O264" s="40"/>
    </row>
    <row r="265" spans="1:15">
      <c r="A265" s="28" t="s">
        <v>580</v>
      </c>
      <c r="B265" s="37">
        <v>0.002</v>
      </c>
      <c r="C265" s="37">
        <v>0</v>
      </c>
      <c r="D265" s="37">
        <v>0.315</v>
      </c>
      <c r="E265" s="37">
        <v>0</v>
      </c>
      <c r="F265">
        <v>0.0123</v>
      </c>
      <c r="G265">
        <v>0.6499</v>
      </c>
      <c r="I265" s="38"/>
      <c r="J265" s="39"/>
      <c r="K265" s="39"/>
      <c r="L265" s="39"/>
      <c r="M265" s="39"/>
      <c r="N265" s="40"/>
      <c r="O265" s="40"/>
    </row>
    <row r="266" spans="1:15">
      <c r="A266" s="28" t="s">
        <v>581</v>
      </c>
      <c r="B266" s="37">
        <v>0.002</v>
      </c>
      <c r="C266" s="37">
        <v>0</v>
      </c>
      <c r="D266" s="37">
        <v>0.292</v>
      </c>
      <c r="E266" s="37">
        <v>0</v>
      </c>
      <c r="F266">
        <v>0.0124</v>
      </c>
      <c r="G266">
        <v>0.6879</v>
      </c>
      <c r="I266" s="38"/>
      <c r="J266" s="39"/>
      <c r="K266" s="39"/>
      <c r="L266" s="39"/>
      <c r="M266" s="39"/>
      <c r="N266" s="40"/>
      <c r="O266" s="40"/>
    </row>
    <row r="267" spans="1:15">
      <c r="A267" s="28" t="s">
        <v>582</v>
      </c>
      <c r="B267" s="37">
        <v>0.002</v>
      </c>
      <c r="C267" s="37">
        <v>0.002</v>
      </c>
      <c r="D267" s="37">
        <v>0.357</v>
      </c>
      <c r="E267" s="37">
        <v>0.28</v>
      </c>
      <c r="F267">
        <v>0.0125</v>
      </c>
      <c r="G267">
        <v>0.6975</v>
      </c>
      <c r="I267" s="38"/>
      <c r="J267" s="39"/>
      <c r="K267" s="39"/>
      <c r="L267" s="39"/>
      <c r="M267" s="39"/>
      <c r="N267" s="40"/>
      <c r="O267" s="40"/>
    </row>
    <row r="268" spans="1:15">
      <c r="A268" s="28" t="s">
        <v>583</v>
      </c>
      <c r="B268" s="37">
        <v>0.002</v>
      </c>
      <c r="C268" s="37">
        <v>0</v>
      </c>
      <c r="D268" s="37">
        <v>0.339</v>
      </c>
      <c r="E268" s="37">
        <v>0</v>
      </c>
      <c r="F268">
        <v>0.0127</v>
      </c>
      <c r="G268">
        <v>0.699</v>
      </c>
      <c r="I268" s="38"/>
      <c r="J268" s="39"/>
      <c r="K268" s="39"/>
      <c r="L268" s="39"/>
      <c r="M268" s="39"/>
      <c r="N268" s="40"/>
      <c r="O268" s="40"/>
    </row>
    <row r="269" spans="1:15">
      <c r="A269" s="28" t="s">
        <v>584</v>
      </c>
      <c r="B269" s="37">
        <v>0.002</v>
      </c>
      <c r="C269" s="37">
        <v>0</v>
      </c>
      <c r="D269" s="37">
        <v>0.274</v>
      </c>
      <c r="E269" s="37">
        <v>0</v>
      </c>
      <c r="F269">
        <v>0.0129</v>
      </c>
      <c r="G269">
        <v>0.7028</v>
      </c>
      <c r="I269" s="38"/>
      <c r="J269" s="39"/>
      <c r="K269" s="39"/>
      <c r="L269" s="39"/>
      <c r="M269" s="39"/>
      <c r="N269" s="40"/>
      <c r="O269" s="40"/>
    </row>
    <row r="270" spans="1:15">
      <c r="A270" s="28" t="s">
        <v>585</v>
      </c>
      <c r="B270" s="37">
        <v>0.003</v>
      </c>
      <c r="C270" s="37">
        <v>0</v>
      </c>
      <c r="D270" s="37">
        <v>0.376</v>
      </c>
      <c r="E270" s="37">
        <v>0</v>
      </c>
      <c r="F270">
        <v>0.013</v>
      </c>
      <c r="G270">
        <v>0.7054</v>
      </c>
      <c r="I270" s="38"/>
      <c r="J270" s="39"/>
      <c r="K270" s="39"/>
      <c r="L270" s="39"/>
      <c r="M270" s="39"/>
      <c r="N270" s="40"/>
      <c r="O270" s="40"/>
    </row>
    <row r="271" spans="1:15">
      <c r="A271" s="28" t="s">
        <v>586</v>
      </c>
      <c r="B271" s="37">
        <v>0.003</v>
      </c>
      <c r="C271" s="37">
        <v>0</v>
      </c>
      <c r="D271" s="37">
        <v>0.381</v>
      </c>
      <c r="E271" s="37">
        <v>0</v>
      </c>
      <c r="F271">
        <v>0.0131</v>
      </c>
      <c r="G271">
        <v>0.7087</v>
      </c>
      <c r="I271" s="38"/>
      <c r="J271" s="39"/>
      <c r="K271" s="39"/>
      <c r="L271" s="39"/>
      <c r="M271" s="39"/>
      <c r="N271" s="40"/>
      <c r="O271" s="40"/>
    </row>
    <row r="272" spans="1:15">
      <c r="A272" s="28" t="s">
        <v>587</v>
      </c>
      <c r="B272" s="37">
        <v>0.003</v>
      </c>
      <c r="C272" s="37">
        <v>0</v>
      </c>
      <c r="D272" s="37">
        <v>0.438</v>
      </c>
      <c r="E272" s="37">
        <v>0</v>
      </c>
      <c r="F272">
        <v>0.0131</v>
      </c>
      <c r="G272">
        <v>0.7139</v>
      </c>
      <c r="I272" s="38"/>
      <c r="J272" s="39"/>
      <c r="K272" s="39"/>
      <c r="L272" s="39"/>
      <c r="M272" s="39"/>
      <c r="N272" s="40"/>
      <c r="O272" s="40"/>
    </row>
    <row r="273" spans="1:15">
      <c r="A273" s="28" t="s">
        <v>588</v>
      </c>
      <c r="B273" s="37">
        <v>0.002</v>
      </c>
      <c r="C273" s="37">
        <v>0</v>
      </c>
      <c r="D273" s="37">
        <v>0.314</v>
      </c>
      <c r="E273" s="37">
        <v>0</v>
      </c>
      <c r="F273">
        <v>0.0131</v>
      </c>
      <c r="G273">
        <v>0.7095</v>
      </c>
      <c r="I273" s="38"/>
      <c r="J273" s="39"/>
      <c r="K273" s="39"/>
      <c r="L273" s="39"/>
      <c r="M273" s="39"/>
      <c r="N273" s="40"/>
      <c r="O273" s="40"/>
    </row>
    <row r="274" spans="1:15">
      <c r="A274" s="28" t="s">
        <v>589</v>
      </c>
      <c r="B274" s="37">
        <v>0.002</v>
      </c>
      <c r="C274" s="37">
        <v>0</v>
      </c>
      <c r="D274" s="37">
        <v>0.343</v>
      </c>
      <c r="E274" s="37">
        <v>0</v>
      </c>
      <c r="F274">
        <v>0.0134</v>
      </c>
      <c r="G274">
        <v>0.7216</v>
      </c>
      <c r="I274" s="38"/>
      <c r="J274" s="39"/>
      <c r="K274" s="39"/>
      <c r="L274" s="39"/>
      <c r="M274" s="39"/>
      <c r="N274" s="40"/>
      <c r="O274" s="40"/>
    </row>
    <row r="275" spans="1:15">
      <c r="A275" s="28" t="s">
        <v>590</v>
      </c>
      <c r="B275" s="37">
        <v>0.003</v>
      </c>
      <c r="C275" s="37">
        <v>0</v>
      </c>
      <c r="D275" s="37">
        <v>0.443</v>
      </c>
      <c r="E275" s="37">
        <v>0</v>
      </c>
      <c r="F275">
        <v>0.0136</v>
      </c>
      <c r="G275">
        <v>0.724</v>
      </c>
      <c r="I275" s="38"/>
      <c r="J275" s="39"/>
      <c r="K275" s="39"/>
      <c r="L275" s="39"/>
      <c r="M275" s="39"/>
      <c r="N275" s="40"/>
      <c r="O275" s="40"/>
    </row>
    <row r="276" spans="1:15">
      <c r="A276" s="28" t="s">
        <v>591</v>
      </c>
      <c r="B276" s="37">
        <v>0.003</v>
      </c>
      <c r="C276" s="37">
        <v>0</v>
      </c>
      <c r="D276" s="37">
        <v>0.385</v>
      </c>
      <c r="E276" s="37">
        <v>0</v>
      </c>
      <c r="F276">
        <v>0.0139</v>
      </c>
      <c r="G276">
        <v>0.7357</v>
      </c>
      <c r="I276" s="38"/>
      <c r="J276" s="39"/>
      <c r="K276" s="39"/>
      <c r="L276" s="39"/>
      <c r="M276" s="39"/>
      <c r="N276" s="40"/>
      <c r="O276" s="40"/>
    </row>
    <row r="277" spans="1:15">
      <c r="A277" s="28" t="s">
        <v>592</v>
      </c>
      <c r="B277" s="37">
        <v>0.003</v>
      </c>
      <c r="C277" s="37">
        <v>0</v>
      </c>
      <c r="D277" s="37">
        <v>0.438</v>
      </c>
      <c r="E277" s="37">
        <v>0</v>
      </c>
      <c r="F277">
        <v>0.0141</v>
      </c>
      <c r="G277">
        <v>0.7838</v>
      </c>
      <c r="I277" s="38"/>
      <c r="J277" s="39"/>
      <c r="K277" s="39"/>
      <c r="L277" s="39"/>
      <c r="M277" s="39"/>
      <c r="N277" s="40"/>
      <c r="O277" s="40"/>
    </row>
    <row r="278" spans="1:15">
      <c r="A278" s="28" t="s">
        <v>593</v>
      </c>
      <c r="B278" s="37">
        <v>0.003</v>
      </c>
      <c r="C278" s="37">
        <v>0</v>
      </c>
      <c r="D278" s="37">
        <v>0.442</v>
      </c>
      <c r="E278" s="37">
        <v>0</v>
      </c>
      <c r="F278">
        <v>0.0141</v>
      </c>
      <c r="G278">
        <v>0.7754</v>
      </c>
      <c r="I278" s="38"/>
      <c r="J278" s="39"/>
      <c r="K278" s="39"/>
      <c r="L278" s="39"/>
      <c r="M278" s="39"/>
      <c r="N278" s="40"/>
      <c r="O278" s="40"/>
    </row>
    <row r="279" spans="1:15">
      <c r="A279" s="28" t="s">
        <v>594</v>
      </c>
      <c r="B279" s="37">
        <v>0.004</v>
      </c>
      <c r="C279" s="37">
        <v>0</v>
      </c>
      <c r="D279" s="37">
        <v>0.465</v>
      </c>
      <c r="E279" s="37">
        <v>0</v>
      </c>
      <c r="F279">
        <v>0.0141</v>
      </c>
      <c r="G279">
        <v>0.7913</v>
      </c>
      <c r="I279" s="38"/>
      <c r="J279" s="39"/>
      <c r="K279" s="39"/>
      <c r="L279" s="39"/>
      <c r="M279" s="39"/>
      <c r="N279" s="40"/>
      <c r="O279" s="40"/>
    </row>
    <row r="280" spans="1:15">
      <c r="A280" s="28" t="s">
        <v>595</v>
      </c>
      <c r="B280" s="37">
        <v>0.003</v>
      </c>
      <c r="C280" s="37">
        <v>0</v>
      </c>
      <c r="D280" s="37">
        <v>0.424</v>
      </c>
      <c r="E280" s="37">
        <v>0</v>
      </c>
      <c r="F280">
        <v>0.0143</v>
      </c>
      <c r="G280">
        <v>0.783</v>
      </c>
      <c r="I280" s="38"/>
      <c r="J280" s="39"/>
      <c r="K280" s="39"/>
      <c r="L280" s="39"/>
      <c r="M280" s="39"/>
      <c r="N280" s="40"/>
      <c r="O280" s="40"/>
    </row>
    <row r="281" spans="1:15">
      <c r="A281" s="28" t="s">
        <v>596</v>
      </c>
      <c r="B281" s="37">
        <v>0.003</v>
      </c>
      <c r="C281" s="37">
        <v>0</v>
      </c>
      <c r="D281" s="37">
        <v>0.414</v>
      </c>
      <c r="E281" s="37">
        <v>0</v>
      </c>
      <c r="F281">
        <v>0.0145</v>
      </c>
      <c r="G281">
        <v>0.7856</v>
      </c>
      <c r="I281" s="38"/>
      <c r="J281" s="39"/>
      <c r="K281" s="39"/>
      <c r="L281" s="39"/>
      <c r="M281" s="39"/>
      <c r="N281" s="40"/>
      <c r="O281" s="40"/>
    </row>
    <row r="282" spans="1:15">
      <c r="A282" s="28" t="s">
        <v>597</v>
      </c>
      <c r="B282" s="37">
        <v>0.003</v>
      </c>
      <c r="C282" s="37">
        <v>0</v>
      </c>
      <c r="D282" s="37">
        <v>0.416</v>
      </c>
      <c r="E282" s="37">
        <v>0</v>
      </c>
      <c r="F282">
        <v>0.0145</v>
      </c>
      <c r="G282">
        <v>0.8073</v>
      </c>
      <c r="I282" s="38"/>
      <c r="J282" s="39"/>
      <c r="K282" s="39"/>
      <c r="L282" s="39"/>
      <c r="M282" s="39"/>
      <c r="N282" s="40"/>
      <c r="O282" s="40"/>
    </row>
    <row r="283" spans="1:15">
      <c r="A283" s="28" t="s">
        <v>598</v>
      </c>
      <c r="B283" s="37">
        <v>0.003</v>
      </c>
      <c r="C283" s="37">
        <v>0</v>
      </c>
      <c r="D283" s="37">
        <v>0.435</v>
      </c>
      <c r="E283" s="37">
        <v>0</v>
      </c>
      <c r="F283">
        <v>0.0148</v>
      </c>
      <c r="G283">
        <v>0.8097</v>
      </c>
      <c r="I283" s="38"/>
      <c r="J283" s="39"/>
      <c r="K283" s="39"/>
      <c r="L283" s="39"/>
      <c r="M283" s="39"/>
      <c r="N283" s="40"/>
      <c r="O283" s="40"/>
    </row>
    <row r="284" spans="1:15">
      <c r="A284" s="28" t="s">
        <v>599</v>
      </c>
      <c r="B284" s="37">
        <v>0.003</v>
      </c>
      <c r="C284" s="37">
        <v>0.005</v>
      </c>
      <c r="D284" s="37">
        <v>0.366</v>
      </c>
      <c r="E284" s="37">
        <v>0.586</v>
      </c>
      <c r="F284">
        <v>0.015</v>
      </c>
      <c r="G284">
        <v>0.8112</v>
      </c>
      <c r="I284" s="38"/>
      <c r="J284" s="39"/>
      <c r="K284" s="39"/>
      <c r="L284" s="39"/>
      <c r="M284" s="39"/>
      <c r="N284" s="40"/>
      <c r="O284" s="40"/>
    </row>
    <row r="285" spans="1:15">
      <c r="A285" s="28" t="s">
        <v>600</v>
      </c>
      <c r="B285" s="37">
        <v>0.003</v>
      </c>
      <c r="C285" s="37">
        <v>0.005</v>
      </c>
      <c r="D285" s="37">
        <v>0.358</v>
      </c>
      <c r="E285" s="37">
        <v>0.573</v>
      </c>
      <c r="F285">
        <v>0.0153</v>
      </c>
      <c r="G285">
        <v>0.8112</v>
      </c>
      <c r="I285" s="38"/>
      <c r="J285" s="39"/>
      <c r="K285" s="39"/>
      <c r="L285" s="39"/>
      <c r="M285" s="39"/>
      <c r="N285" s="40"/>
      <c r="O285" s="40"/>
    </row>
    <row r="286" spans="1:15">
      <c r="A286" s="28" t="s">
        <v>601</v>
      </c>
      <c r="B286" s="37">
        <v>0.003</v>
      </c>
      <c r="C286" s="37">
        <v>0.005</v>
      </c>
      <c r="D286" s="37">
        <v>0.398</v>
      </c>
      <c r="E286" s="37">
        <v>0.56</v>
      </c>
      <c r="F286">
        <v>0.0152</v>
      </c>
      <c r="G286">
        <v>0.8251</v>
      </c>
      <c r="I286" s="38"/>
      <c r="J286" s="39"/>
      <c r="K286" s="39"/>
      <c r="L286" s="39"/>
      <c r="M286" s="39"/>
      <c r="N286" s="40"/>
      <c r="O286" s="40"/>
    </row>
    <row r="287" spans="1:15">
      <c r="A287" s="28" t="s">
        <v>602</v>
      </c>
      <c r="B287" s="37">
        <v>0.003</v>
      </c>
      <c r="C287" s="37">
        <v>0.005</v>
      </c>
      <c r="D287" s="37">
        <v>0.39</v>
      </c>
      <c r="E287" s="37">
        <v>0.572</v>
      </c>
      <c r="F287">
        <v>0.0153</v>
      </c>
      <c r="G287">
        <v>0.8302</v>
      </c>
      <c r="I287" s="38"/>
      <c r="J287" s="39"/>
      <c r="K287" s="39"/>
      <c r="L287" s="39"/>
      <c r="M287" s="39"/>
      <c r="N287" s="40"/>
      <c r="O287" s="40"/>
    </row>
    <row r="288" spans="1:15">
      <c r="A288" s="28" t="s">
        <v>603</v>
      </c>
      <c r="B288" s="37">
        <v>0.003</v>
      </c>
      <c r="C288" s="37">
        <v>0.005</v>
      </c>
      <c r="D288" s="37">
        <v>0.382</v>
      </c>
      <c r="E288" s="37">
        <v>0.564</v>
      </c>
      <c r="F288">
        <v>0.0154</v>
      </c>
      <c r="G288">
        <v>0.834</v>
      </c>
      <c r="I288" s="38"/>
      <c r="J288" s="39"/>
      <c r="K288" s="39"/>
      <c r="L288" s="39"/>
      <c r="M288" s="39"/>
      <c r="N288" s="40"/>
      <c r="O288" s="40"/>
    </row>
    <row r="289" spans="1:15">
      <c r="A289" s="28" t="s">
        <v>604</v>
      </c>
      <c r="B289" s="37">
        <v>0.003</v>
      </c>
      <c r="C289" s="37">
        <v>0.013</v>
      </c>
      <c r="D289" s="37">
        <v>0.335</v>
      </c>
      <c r="E289" s="37">
        <v>1.471</v>
      </c>
      <c r="F289">
        <v>0.0155</v>
      </c>
      <c r="G289">
        <v>0.8417</v>
      </c>
      <c r="I289" s="38"/>
      <c r="J289" s="39"/>
      <c r="K289" s="39"/>
      <c r="L289" s="39"/>
      <c r="M289" s="39"/>
      <c r="N289" s="40"/>
      <c r="O289" s="40"/>
    </row>
    <row r="290" spans="1:15">
      <c r="A290" s="28" t="s">
        <v>605</v>
      </c>
      <c r="B290" s="37">
        <v>0.003</v>
      </c>
      <c r="C290" s="37">
        <v>0.013</v>
      </c>
      <c r="D290" s="37">
        <v>0.319</v>
      </c>
      <c r="E290" s="37">
        <v>1.418</v>
      </c>
      <c r="F290">
        <v>0.0157</v>
      </c>
      <c r="G290">
        <v>0.8736</v>
      </c>
      <c r="I290" s="38"/>
      <c r="J290" s="39"/>
      <c r="K290" s="39"/>
      <c r="L290" s="39"/>
      <c r="M290" s="39"/>
      <c r="N290" s="40"/>
      <c r="O290" s="40"/>
    </row>
    <row r="291" spans="1:15">
      <c r="A291" s="28" t="s">
        <v>606</v>
      </c>
      <c r="B291" s="37">
        <v>0.003</v>
      </c>
      <c r="C291" s="37">
        <v>0.013</v>
      </c>
      <c r="D291" s="37">
        <v>0.346</v>
      </c>
      <c r="E291" s="37">
        <v>1.38</v>
      </c>
      <c r="F291">
        <v>0.0156</v>
      </c>
      <c r="G291">
        <v>0.884</v>
      </c>
      <c r="I291" s="38"/>
      <c r="J291" s="39"/>
      <c r="K291" s="39"/>
      <c r="L291" s="39"/>
      <c r="M291" s="39"/>
      <c r="N291" s="40"/>
      <c r="O291" s="40"/>
    </row>
    <row r="292" spans="1:15">
      <c r="A292" s="28" t="s">
        <v>607</v>
      </c>
      <c r="B292" s="37">
        <v>0.003</v>
      </c>
      <c r="C292" s="37">
        <v>0.013</v>
      </c>
      <c r="D292" s="37">
        <v>0.327</v>
      </c>
      <c r="E292" s="37">
        <v>1.382</v>
      </c>
      <c r="F292">
        <v>0.0158</v>
      </c>
      <c r="G292">
        <v>0.9095</v>
      </c>
      <c r="I292" s="38"/>
      <c r="J292" s="39"/>
      <c r="K292" s="39"/>
      <c r="L292" s="39"/>
      <c r="M292" s="39"/>
      <c r="N292" s="40"/>
      <c r="O292" s="40"/>
    </row>
    <row r="293" spans="1:15">
      <c r="A293" s="28" t="s">
        <v>608</v>
      </c>
      <c r="B293" s="37">
        <v>0.003</v>
      </c>
      <c r="C293" s="37">
        <v>0.013</v>
      </c>
      <c r="D293" s="37">
        <v>0.306</v>
      </c>
      <c r="E293" s="37">
        <v>1.348</v>
      </c>
      <c r="F293">
        <v>0.0162</v>
      </c>
      <c r="G293">
        <v>0.9032</v>
      </c>
      <c r="I293" s="38"/>
      <c r="J293" s="39"/>
      <c r="K293" s="39"/>
      <c r="L293" s="39"/>
      <c r="M293" s="39"/>
      <c r="N293" s="40"/>
      <c r="O293" s="40"/>
    </row>
    <row r="294" spans="1:15">
      <c r="A294" s="28" t="s">
        <v>609</v>
      </c>
      <c r="B294" s="37">
        <v>0.003</v>
      </c>
      <c r="C294" s="37">
        <v>0.013</v>
      </c>
      <c r="D294" s="37">
        <v>0.291</v>
      </c>
      <c r="E294" s="37">
        <v>1.319</v>
      </c>
      <c r="F294">
        <v>0.0162</v>
      </c>
      <c r="G294">
        <v>0.9024</v>
      </c>
      <c r="I294" s="38"/>
      <c r="J294" s="39"/>
      <c r="K294" s="39"/>
      <c r="L294" s="39"/>
      <c r="M294" s="39"/>
      <c r="N294" s="40"/>
      <c r="O294" s="40"/>
    </row>
    <row r="295" spans="1:15">
      <c r="A295" s="28" t="s">
        <v>610</v>
      </c>
      <c r="B295" s="37">
        <v>0.003</v>
      </c>
      <c r="C295" s="37">
        <v>0.01</v>
      </c>
      <c r="D295" s="37">
        <v>0.283</v>
      </c>
      <c r="E295" s="37">
        <v>0.969</v>
      </c>
      <c r="F295">
        <v>0.0163</v>
      </c>
      <c r="G295">
        <v>0.903</v>
      </c>
      <c r="I295" s="38"/>
      <c r="J295" s="39"/>
      <c r="K295" s="39"/>
      <c r="L295" s="39"/>
      <c r="M295" s="39"/>
      <c r="N295" s="40"/>
      <c r="O295" s="40"/>
    </row>
    <row r="296" spans="1:15">
      <c r="A296" s="28" t="s">
        <v>611</v>
      </c>
      <c r="B296" s="37">
        <v>0.003</v>
      </c>
      <c r="C296" s="37">
        <v>0.01</v>
      </c>
      <c r="D296" s="37">
        <v>0.304</v>
      </c>
      <c r="E296" s="37">
        <v>0.963</v>
      </c>
      <c r="F296">
        <v>0.0165</v>
      </c>
      <c r="G296">
        <v>0.9196</v>
      </c>
      <c r="I296" s="38"/>
      <c r="J296" s="39"/>
      <c r="K296" s="39"/>
      <c r="L296" s="39"/>
      <c r="M296" s="39"/>
      <c r="N296" s="40"/>
      <c r="O296" s="40"/>
    </row>
    <row r="297" spans="1:15">
      <c r="A297" s="28" t="s">
        <v>612</v>
      </c>
      <c r="B297" s="37">
        <v>0.003</v>
      </c>
      <c r="C297" s="37">
        <v>0.01</v>
      </c>
      <c r="D297" s="37">
        <v>0.289</v>
      </c>
      <c r="E297" s="37">
        <v>0.959</v>
      </c>
      <c r="F297">
        <v>0.0167</v>
      </c>
      <c r="G297">
        <v>0.9097</v>
      </c>
      <c r="I297" s="38"/>
      <c r="J297" s="39"/>
      <c r="K297" s="39"/>
      <c r="L297" s="39"/>
      <c r="M297" s="39"/>
      <c r="N297" s="40"/>
      <c r="O297" s="40"/>
    </row>
    <row r="298" spans="1:15">
      <c r="A298" s="28" t="s">
        <v>613</v>
      </c>
      <c r="B298" s="37">
        <v>0.002</v>
      </c>
      <c r="C298" s="37">
        <v>0.01</v>
      </c>
      <c r="D298" s="37">
        <v>0.246</v>
      </c>
      <c r="E298" s="37">
        <v>0.966</v>
      </c>
      <c r="F298">
        <v>0.0168</v>
      </c>
      <c r="G298">
        <v>0.9346</v>
      </c>
      <c r="I298" s="38"/>
      <c r="J298" s="39"/>
      <c r="K298" s="39"/>
      <c r="L298" s="39"/>
      <c r="M298" s="39"/>
      <c r="N298" s="40"/>
      <c r="O298" s="40"/>
    </row>
    <row r="299" spans="1:15">
      <c r="A299" s="28" t="s">
        <v>614</v>
      </c>
      <c r="B299" s="37">
        <v>0.003</v>
      </c>
      <c r="C299" s="37">
        <v>0.01</v>
      </c>
      <c r="D299" s="37">
        <v>0.286</v>
      </c>
      <c r="E299" s="37">
        <v>0.923</v>
      </c>
      <c r="F299">
        <v>0.0167</v>
      </c>
      <c r="G299">
        <v>0.9415</v>
      </c>
      <c r="I299" s="38"/>
      <c r="J299" s="39"/>
      <c r="K299" s="39"/>
      <c r="L299" s="39"/>
      <c r="M299" s="39"/>
      <c r="N299" s="40"/>
      <c r="O299" s="40"/>
    </row>
    <row r="300" spans="1:15">
      <c r="A300" s="28" t="s">
        <v>615</v>
      </c>
      <c r="B300" s="37">
        <v>0.004</v>
      </c>
      <c r="C300" s="37">
        <v>0.01</v>
      </c>
      <c r="D300" s="37">
        <v>0.377</v>
      </c>
      <c r="E300" s="37">
        <v>0.879</v>
      </c>
      <c r="F300">
        <v>0.0169</v>
      </c>
      <c r="G300">
        <v>0.9536</v>
      </c>
      <c r="I300" s="38"/>
      <c r="J300" s="39"/>
      <c r="K300" s="39"/>
      <c r="L300" s="39"/>
      <c r="M300" s="39"/>
      <c r="N300" s="40"/>
      <c r="O300" s="40"/>
    </row>
    <row r="301" spans="1:15">
      <c r="A301" s="28" t="s">
        <v>616</v>
      </c>
      <c r="B301" s="37">
        <v>0.003</v>
      </c>
      <c r="C301" s="37">
        <v>0.01</v>
      </c>
      <c r="D301" s="37">
        <v>0.335</v>
      </c>
      <c r="E301" s="37">
        <v>0.87</v>
      </c>
      <c r="F301">
        <v>0.0169</v>
      </c>
      <c r="G301">
        <v>0.9624</v>
      </c>
      <c r="I301" s="38"/>
      <c r="J301" s="39"/>
      <c r="K301" s="39"/>
      <c r="L301" s="39"/>
      <c r="M301" s="39"/>
      <c r="N301" s="40"/>
      <c r="O301" s="40"/>
    </row>
    <row r="302" spans="1:15">
      <c r="A302" s="28" t="s">
        <v>617</v>
      </c>
      <c r="B302" s="37">
        <v>0.003</v>
      </c>
      <c r="C302" s="37">
        <v>0.013</v>
      </c>
      <c r="D302" s="37">
        <v>0.295</v>
      </c>
      <c r="E302" s="37">
        <v>1.157</v>
      </c>
      <c r="F302">
        <v>0.0169</v>
      </c>
      <c r="G302">
        <v>0.9697</v>
      </c>
      <c r="I302" s="38"/>
      <c r="J302" s="39"/>
      <c r="K302" s="39"/>
      <c r="L302" s="39"/>
      <c r="M302" s="39"/>
      <c r="N302" s="40"/>
      <c r="O302" s="40"/>
    </row>
    <row r="303" spans="1:15">
      <c r="A303" s="28" t="s">
        <v>618</v>
      </c>
      <c r="B303" s="37">
        <v>0.004</v>
      </c>
      <c r="C303" s="37">
        <v>0.013</v>
      </c>
      <c r="D303" s="37">
        <v>0.384</v>
      </c>
      <c r="E303" s="37">
        <v>1.154</v>
      </c>
      <c r="F303">
        <v>0.0166</v>
      </c>
      <c r="G303">
        <v>0.9654</v>
      </c>
      <c r="I303" s="38"/>
      <c r="J303" s="39"/>
      <c r="K303" s="39"/>
      <c r="L303" s="39"/>
      <c r="M303" s="39"/>
      <c r="N303" s="40"/>
      <c r="O303" s="40"/>
    </row>
    <row r="304" spans="1:15">
      <c r="A304" s="28" t="s">
        <v>619</v>
      </c>
      <c r="B304" s="37">
        <v>0.004</v>
      </c>
      <c r="C304" s="37">
        <v>0.005</v>
      </c>
      <c r="D304" s="37">
        <v>0.377</v>
      </c>
      <c r="E304" s="37">
        <v>0.414</v>
      </c>
      <c r="F304">
        <v>0.0173</v>
      </c>
      <c r="G304">
        <v>0.9777</v>
      </c>
      <c r="I304" s="38"/>
      <c r="J304" s="39"/>
      <c r="K304" s="39"/>
      <c r="L304" s="39"/>
      <c r="M304" s="39"/>
      <c r="N304" s="40"/>
      <c r="O304" s="40"/>
    </row>
    <row r="305" spans="1:15">
      <c r="A305" s="28" t="s">
        <v>620</v>
      </c>
      <c r="B305" s="37">
        <v>0.004</v>
      </c>
      <c r="C305" s="37">
        <v>0</v>
      </c>
      <c r="D305" s="37">
        <v>0.406</v>
      </c>
      <c r="E305" s="37">
        <v>0</v>
      </c>
      <c r="F305">
        <v>0.0174</v>
      </c>
      <c r="G305">
        <v>0.9935</v>
      </c>
      <c r="I305" s="38"/>
      <c r="J305" s="39"/>
      <c r="K305" s="39"/>
      <c r="L305" s="39"/>
      <c r="M305" s="39"/>
      <c r="N305" s="40"/>
      <c r="O305" s="40"/>
    </row>
    <row r="306" spans="1:15">
      <c r="A306" s="28" t="s">
        <v>621</v>
      </c>
      <c r="B306" s="37">
        <v>0.004</v>
      </c>
      <c r="C306" s="37">
        <v>0</v>
      </c>
      <c r="D306" s="37">
        <v>0.394</v>
      </c>
      <c r="E306" s="37">
        <v>0</v>
      </c>
      <c r="F306">
        <v>0.0176</v>
      </c>
      <c r="G306">
        <v>1.004</v>
      </c>
      <c r="I306" s="38"/>
      <c r="J306" s="39"/>
      <c r="K306" s="39"/>
      <c r="L306" s="39"/>
      <c r="M306" s="39"/>
      <c r="N306" s="40"/>
      <c r="O306" s="40"/>
    </row>
    <row r="307" spans="1:15">
      <c r="A307" s="28" t="s">
        <v>622</v>
      </c>
      <c r="B307" s="37">
        <v>0.005</v>
      </c>
      <c r="C307" s="37">
        <v>0</v>
      </c>
      <c r="D307" s="37">
        <v>0.469</v>
      </c>
      <c r="E307" s="37">
        <v>0</v>
      </c>
      <c r="F307">
        <v>0.0178</v>
      </c>
      <c r="G307">
        <v>1.0021</v>
      </c>
      <c r="I307" s="38"/>
      <c r="J307" s="39"/>
      <c r="K307" s="39"/>
      <c r="L307" s="39"/>
      <c r="M307" s="39"/>
      <c r="N307" s="40"/>
      <c r="O307" s="40"/>
    </row>
    <row r="308" spans="1:15">
      <c r="A308" s="28" t="s">
        <v>623</v>
      </c>
      <c r="B308" s="37">
        <v>0.005</v>
      </c>
      <c r="C308" s="37">
        <v>0</v>
      </c>
      <c r="D308" s="37">
        <v>0.495</v>
      </c>
      <c r="E308" s="37">
        <v>0</v>
      </c>
      <c r="F308">
        <v>0.0177</v>
      </c>
      <c r="G308">
        <v>1.0234</v>
      </c>
      <c r="I308" s="38"/>
      <c r="J308" s="39"/>
      <c r="K308" s="39"/>
      <c r="L308" s="39"/>
      <c r="M308" s="39"/>
      <c r="N308" s="40"/>
      <c r="O308" s="40"/>
    </row>
    <row r="309" spans="1:15">
      <c r="A309" s="28" t="s">
        <v>624</v>
      </c>
      <c r="B309" s="37">
        <v>0.005</v>
      </c>
      <c r="C309" s="37">
        <v>0</v>
      </c>
      <c r="D309" s="37">
        <v>0.458</v>
      </c>
      <c r="E309" s="37">
        <v>0</v>
      </c>
      <c r="F309">
        <v>0.0178</v>
      </c>
      <c r="G309">
        <v>1.0368</v>
      </c>
      <c r="I309" s="38"/>
      <c r="J309" s="39"/>
      <c r="K309" s="39"/>
      <c r="L309" s="39"/>
      <c r="M309" s="39"/>
      <c r="N309" s="40"/>
      <c r="O309" s="40"/>
    </row>
    <row r="310" spans="1:15">
      <c r="A310" s="28" t="s">
        <v>625</v>
      </c>
      <c r="B310" s="37">
        <v>0.005</v>
      </c>
      <c r="C310" s="37">
        <v>0</v>
      </c>
      <c r="D310" s="37">
        <v>0.409</v>
      </c>
      <c r="E310" s="37">
        <v>0</v>
      </c>
      <c r="F310">
        <v>0.0179</v>
      </c>
      <c r="G310">
        <v>1.0496</v>
      </c>
      <c r="I310" s="38"/>
      <c r="J310" s="39"/>
      <c r="K310" s="39"/>
      <c r="L310" s="39"/>
      <c r="M310" s="39"/>
      <c r="N310" s="40"/>
      <c r="O310" s="40"/>
    </row>
    <row r="311" spans="1:15">
      <c r="A311" s="28" t="s">
        <v>626</v>
      </c>
      <c r="B311" s="37">
        <v>0.005</v>
      </c>
      <c r="C311" s="37">
        <v>0</v>
      </c>
      <c r="D311" s="37">
        <v>0.439</v>
      </c>
      <c r="E311" s="37">
        <v>0</v>
      </c>
      <c r="F311">
        <v>0.0178</v>
      </c>
      <c r="G311">
        <v>1.0568</v>
      </c>
      <c r="I311" s="38"/>
      <c r="J311" s="39"/>
      <c r="K311" s="39"/>
      <c r="L311" s="39"/>
      <c r="M311" s="39"/>
      <c r="N311" s="40"/>
      <c r="O311" s="40"/>
    </row>
    <row r="312" spans="1:15">
      <c r="A312" s="28" t="s">
        <v>627</v>
      </c>
      <c r="B312" s="37">
        <v>0.006</v>
      </c>
      <c r="C312" s="37">
        <v>0</v>
      </c>
      <c r="D312" s="37">
        <v>0.539</v>
      </c>
      <c r="E312" s="37">
        <v>0</v>
      </c>
      <c r="F312">
        <v>0.018</v>
      </c>
      <c r="G312">
        <v>1.0685</v>
      </c>
      <c r="I312" s="38"/>
      <c r="J312" s="39"/>
      <c r="K312" s="39"/>
      <c r="L312" s="39"/>
      <c r="M312" s="39"/>
      <c r="N312" s="40"/>
      <c r="O312" s="40"/>
    </row>
    <row r="313" spans="1:15">
      <c r="A313" s="28" t="s">
        <v>628</v>
      </c>
      <c r="B313" s="37">
        <v>0.006</v>
      </c>
      <c r="C313" s="37">
        <v>0.016</v>
      </c>
      <c r="D313" s="37">
        <v>0.521</v>
      </c>
      <c r="E313" s="37">
        <v>1.317</v>
      </c>
      <c r="F313">
        <v>0.018</v>
      </c>
      <c r="G313">
        <v>1.1052</v>
      </c>
      <c r="I313" s="38"/>
      <c r="J313" s="39"/>
      <c r="K313" s="39"/>
      <c r="L313" s="39"/>
      <c r="M313" s="39"/>
      <c r="N313" s="40"/>
      <c r="O313" s="40"/>
    </row>
    <row r="314" spans="1:15">
      <c r="A314" s="28" t="s">
        <v>629</v>
      </c>
      <c r="B314" s="37">
        <v>0.006</v>
      </c>
      <c r="C314" s="37">
        <v>0.016</v>
      </c>
      <c r="D314" s="37">
        <v>0.494</v>
      </c>
      <c r="E314" s="37">
        <v>1.304</v>
      </c>
      <c r="F314">
        <v>0.0182</v>
      </c>
      <c r="G314">
        <v>1.113</v>
      </c>
      <c r="I314" s="38"/>
      <c r="J314" s="39"/>
      <c r="K314" s="39"/>
      <c r="L314" s="39"/>
      <c r="M314" s="39"/>
      <c r="N314" s="40"/>
      <c r="O314" s="40"/>
    </row>
    <row r="315" spans="1:15">
      <c r="A315" s="28" t="s">
        <v>630</v>
      </c>
      <c r="B315" s="37">
        <v>0.006</v>
      </c>
      <c r="C315" s="37">
        <v>0.016</v>
      </c>
      <c r="D315" s="37">
        <v>0.476</v>
      </c>
      <c r="E315" s="37">
        <v>1.277</v>
      </c>
      <c r="F315">
        <v>0.0183</v>
      </c>
      <c r="G315">
        <v>1.1588</v>
      </c>
      <c r="I315" s="38"/>
      <c r="J315" s="39"/>
      <c r="K315" s="39"/>
      <c r="L315" s="39"/>
      <c r="M315" s="39"/>
      <c r="N315" s="40"/>
      <c r="O315" s="40"/>
    </row>
    <row r="316" spans="1:15">
      <c r="A316" s="28" t="s">
        <v>631</v>
      </c>
      <c r="B316" s="37">
        <v>0.006</v>
      </c>
      <c r="C316" s="37">
        <v>0.016</v>
      </c>
      <c r="D316" s="37">
        <v>0.465</v>
      </c>
      <c r="E316" s="37">
        <v>1.279</v>
      </c>
      <c r="F316">
        <v>0.0183</v>
      </c>
      <c r="G316">
        <v>1.1507</v>
      </c>
      <c r="I316" s="38"/>
      <c r="J316" s="39"/>
      <c r="K316" s="39"/>
      <c r="L316" s="39"/>
      <c r="M316" s="39"/>
      <c r="N316" s="40"/>
      <c r="O316" s="40"/>
    </row>
    <row r="317" spans="1:15">
      <c r="A317" s="28" t="s">
        <v>632</v>
      </c>
      <c r="B317" s="37">
        <v>0.007</v>
      </c>
      <c r="C317" s="37">
        <v>0.016</v>
      </c>
      <c r="D317" s="37">
        <v>0.554</v>
      </c>
      <c r="E317" s="37">
        <v>1.27</v>
      </c>
      <c r="F317">
        <v>0.0186</v>
      </c>
      <c r="G317">
        <v>1.1687</v>
      </c>
      <c r="I317" s="38"/>
      <c r="J317" s="39"/>
      <c r="K317" s="39"/>
      <c r="L317" s="39"/>
      <c r="M317" s="39"/>
      <c r="N317" s="40"/>
      <c r="O317" s="40"/>
    </row>
    <row r="318" spans="1:15">
      <c r="A318" s="28" t="s">
        <v>633</v>
      </c>
      <c r="B318" s="37">
        <v>0.007</v>
      </c>
      <c r="C318" s="37">
        <v>0.025</v>
      </c>
      <c r="D318" s="37">
        <v>0.591</v>
      </c>
      <c r="E318" s="37">
        <v>1.918</v>
      </c>
      <c r="F318">
        <v>0.0187</v>
      </c>
      <c r="G318">
        <v>1.1872</v>
      </c>
      <c r="I318" s="38"/>
      <c r="J318" s="39"/>
      <c r="K318" s="39"/>
      <c r="L318" s="39"/>
      <c r="M318" s="39"/>
      <c r="N318" s="40"/>
      <c r="O318" s="40"/>
    </row>
    <row r="319" spans="1:15">
      <c r="A319" s="28" t="s">
        <v>634</v>
      </c>
      <c r="B319" s="37">
        <v>0.008</v>
      </c>
      <c r="C319" s="37">
        <v>0.04</v>
      </c>
      <c r="D319" s="37">
        <v>0.628</v>
      </c>
      <c r="E319" s="37">
        <v>3.04</v>
      </c>
      <c r="F319">
        <v>0.0188</v>
      </c>
      <c r="G319">
        <v>1.1818</v>
      </c>
      <c r="I319" s="38"/>
      <c r="J319" s="39"/>
      <c r="K319" s="39"/>
      <c r="L319" s="39"/>
      <c r="M319" s="39"/>
      <c r="N319" s="40"/>
      <c r="O319" s="40"/>
    </row>
    <row r="320" spans="1:15">
      <c r="A320" s="28" t="s">
        <v>635</v>
      </c>
      <c r="B320" s="37">
        <v>0.008</v>
      </c>
      <c r="C320" s="37">
        <v>0.04</v>
      </c>
      <c r="D320" s="37">
        <v>0.637</v>
      </c>
      <c r="E320" s="37">
        <v>3.001</v>
      </c>
      <c r="F320">
        <v>0.0188</v>
      </c>
      <c r="G320">
        <v>1.2013</v>
      </c>
      <c r="I320" s="38"/>
      <c r="J320" s="39"/>
      <c r="K320" s="39"/>
      <c r="L320" s="39"/>
      <c r="M320" s="39"/>
      <c r="N320" s="40"/>
      <c r="O320" s="40"/>
    </row>
    <row r="321" spans="1:15">
      <c r="A321" s="28" t="s">
        <v>636</v>
      </c>
      <c r="B321" s="37">
        <v>0.009</v>
      </c>
      <c r="C321" s="37">
        <v>0.025</v>
      </c>
      <c r="D321" s="37">
        <v>0.683</v>
      </c>
      <c r="E321" s="37">
        <v>1.853</v>
      </c>
      <c r="F321">
        <v>0.0189</v>
      </c>
      <c r="G321">
        <v>1.2084</v>
      </c>
      <c r="I321" s="38"/>
      <c r="J321" s="39"/>
      <c r="K321" s="39"/>
      <c r="L321" s="39"/>
      <c r="M321" s="39"/>
      <c r="N321" s="40"/>
      <c r="O321" s="40"/>
    </row>
    <row r="322" spans="1:15">
      <c r="A322" s="28" t="s">
        <v>637</v>
      </c>
      <c r="B322" s="37">
        <v>0.009</v>
      </c>
      <c r="C322" s="37">
        <v>0.025</v>
      </c>
      <c r="D322" s="37">
        <v>0.667</v>
      </c>
      <c r="E322" s="37">
        <v>1.842</v>
      </c>
      <c r="F322">
        <v>0.019</v>
      </c>
      <c r="G322">
        <v>1.2162</v>
      </c>
      <c r="I322" s="38"/>
      <c r="J322" s="39"/>
      <c r="K322" s="39"/>
      <c r="L322" s="39"/>
      <c r="M322" s="39"/>
      <c r="N322" s="40"/>
      <c r="O322" s="40"/>
    </row>
    <row r="323" spans="1:15">
      <c r="A323" s="28" t="s">
        <v>638</v>
      </c>
      <c r="B323" s="37">
        <v>0.009</v>
      </c>
      <c r="C323" s="37">
        <v>0.025</v>
      </c>
      <c r="D323" s="37">
        <v>0.673</v>
      </c>
      <c r="E323" s="37">
        <v>1.83</v>
      </c>
      <c r="F323">
        <v>0.0191</v>
      </c>
      <c r="G323">
        <v>1.2574</v>
      </c>
      <c r="I323" s="38"/>
      <c r="J323" s="39"/>
      <c r="K323" s="39"/>
      <c r="L323" s="39"/>
      <c r="M323" s="39"/>
      <c r="N323" s="40"/>
      <c r="O323" s="40"/>
    </row>
    <row r="324" spans="1:15">
      <c r="A324" s="28" t="s">
        <v>639</v>
      </c>
      <c r="B324" s="37">
        <v>0.009</v>
      </c>
      <c r="C324" s="37">
        <v>0.025</v>
      </c>
      <c r="D324" s="37">
        <v>0.706</v>
      </c>
      <c r="E324" s="37">
        <v>1.814</v>
      </c>
      <c r="F324">
        <v>0.0191</v>
      </c>
      <c r="G324">
        <v>1.2804</v>
      </c>
      <c r="I324" s="38"/>
      <c r="J324" s="39"/>
      <c r="K324" s="39"/>
      <c r="L324" s="39"/>
      <c r="M324" s="39"/>
      <c r="N324" s="40"/>
      <c r="O324" s="40"/>
    </row>
    <row r="325" spans="1:15">
      <c r="A325" s="28" t="s">
        <v>640</v>
      </c>
      <c r="B325" s="37">
        <v>0.009</v>
      </c>
      <c r="C325" s="37">
        <v>0.025</v>
      </c>
      <c r="D325" s="37">
        <v>0.687</v>
      </c>
      <c r="E325" s="37">
        <v>1.799</v>
      </c>
      <c r="F325">
        <v>0.0193</v>
      </c>
      <c r="G325">
        <v>1.2792</v>
      </c>
      <c r="I325" s="38"/>
      <c r="J325" s="39"/>
      <c r="K325" s="39"/>
      <c r="L325" s="39"/>
      <c r="M325" s="39"/>
      <c r="N325" s="40"/>
      <c r="O325" s="40"/>
    </row>
    <row r="326" spans="1:15">
      <c r="A326" s="28" t="s">
        <v>641</v>
      </c>
      <c r="B326" s="37">
        <v>0.009</v>
      </c>
      <c r="C326" s="37">
        <v>0.025</v>
      </c>
      <c r="D326" s="37">
        <v>0.68</v>
      </c>
      <c r="E326" s="37">
        <v>1.772</v>
      </c>
      <c r="F326">
        <v>0.0194</v>
      </c>
      <c r="G326">
        <v>1.3199</v>
      </c>
      <c r="I326" s="38"/>
      <c r="J326" s="39"/>
      <c r="K326" s="39"/>
      <c r="L326" s="39"/>
      <c r="M326" s="39"/>
      <c r="N326" s="40"/>
      <c r="O326" s="40"/>
    </row>
    <row r="327" spans="1:15">
      <c r="A327" s="28" t="s">
        <v>642</v>
      </c>
      <c r="B327" s="37">
        <v>0.009</v>
      </c>
      <c r="C327" s="37">
        <v>0.025</v>
      </c>
      <c r="D327" s="37">
        <v>0.64</v>
      </c>
      <c r="E327" s="37">
        <v>1.734</v>
      </c>
      <c r="F327">
        <v>0.0196</v>
      </c>
      <c r="G327">
        <v>1.3646</v>
      </c>
      <c r="I327" s="38"/>
      <c r="J327" s="39"/>
      <c r="K327" s="39"/>
      <c r="L327" s="39"/>
      <c r="M327" s="39"/>
      <c r="N327" s="40"/>
      <c r="O327" s="40"/>
    </row>
    <row r="328" spans="1:15">
      <c r="A328" s="28" t="s">
        <v>643</v>
      </c>
      <c r="B328" s="37">
        <v>0.009</v>
      </c>
      <c r="C328" s="37">
        <v>0.008</v>
      </c>
      <c r="D328" s="37">
        <v>0.646</v>
      </c>
      <c r="E328" s="37">
        <v>0.549</v>
      </c>
      <c r="F328">
        <v>0.0197</v>
      </c>
      <c r="G328">
        <v>1.4066</v>
      </c>
      <c r="I328" s="38"/>
      <c r="J328" s="39"/>
      <c r="K328" s="39"/>
      <c r="L328" s="39"/>
      <c r="M328" s="39"/>
      <c r="N328" s="40"/>
      <c r="O328" s="40"/>
    </row>
    <row r="329" spans="1:15">
      <c r="A329" s="28" t="s">
        <v>644</v>
      </c>
      <c r="B329" s="37">
        <v>0.009</v>
      </c>
      <c r="C329" s="37">
        <v>0.008</v>
      </c>
      <c r="D329" s="37">
        <v>0.648</v>
      </c>
      <c r="E329" s="37">
        <v>0.555</v>
      </c>
      <c r="F329">
        <v>0.0198</v>
      </c>
      <c r="G329">
        <v>1.4149</v>
      </c>
      <c r="I329" s="38"/>
      <c r="J329" s="39"/>
      <c r="K329" s="39"/>
      <c r="L329" s="39"/>
      <c r="M329" s="39"/>
      <c r="N329" s="40"/>
      <c r="O329" s="40"/>
    </row>
    <row r="330" spans="1:15">
      <c r="A330" s="28" t="s">
        <v>645</v>
      </c>
      <c r="B330" s="37">
        <v>0.01</v>
      </c>
      <c r="C330" s="37">
        <v>0.008</v>
      </c>
      <c r="D330" s="37">
        <v>0.687</v>
      </c>
      <c r="E330" s="37">
        <v>0.547</v>
      </c>
      <c r="F330">
        <v>0.0198</v>
      </c>
      <c r="G330">
        <v>1.4311</v>
      </c>
      <c r="I330" s="38"/>
      <c r="J330" s="39"/>
      <c r="K330" s="39"/>
      <c r="L330" s="39"/>
      <c r="M330" s="39"/>
      <c r="N330" s="40"/>
      <c r="O330" s="40"/>
    </row>
    <row r="331" spans="1:15">
      <c r="A331" s="28" t="s">
        <v>646</v>
      </c>
      <c r="B331" s="37">
        <v>0.01</v>
      </c>
      <c r="C331" s="37">
        <v>0.008</v>
      </c>
      <c r="D331" s="37">
        <v>0.673</v>
      </c>
      <c r="E331" s="37">
        <v>0.546</v>
      </c>
      <c r="F331">
        <v>0.02</v>
      </c>
      <c r="G331">
        <v>1.4512</v>
      </c>
      <c r="I331" s="38"/>
      <c r="J331" s="39"/>
      <c r="K331" s="39"/>
      <c r="L331" s="39"/>
      <c r="M331" s="39"/>
      <c r="N331" s="40"/>
      <c r="O331" s="40"/>
    </row>
    <row r="332" spans="1:15">
      <c r="A332" s="28" t="s">
        <v>647</v>
      </c>
      <c r="B332" s="37">
        <v>0.01</v>
      </c>
      <c r="C332" s="37">
        <v>0.008</v>
      </c>
      <c r="D332" s="37">
        <v>0.698</v>
      </c>
      <c r="E332" s="37">
        <v>0.547</v>
      </c>
      <c r="F332">
        <v>0.02</v>
      </c>
      <c r="G332">
        <v>1.4587</v>
      </c>
      <c r="I332" s="38"/>
      <c r="J332" s="39"/>
      <c r="K332" s="39"/>
      <c r="L332" s="39"/>
      <c r="M332" s="39"/>
      <c r="N332" s="40"/>
      <c r="O332" s="40"/>
    </row>
    <row r="333" spans="1:15">
      <c r="A333" s="28" t="s">
        <v>648</v>
      </c>
      <c r="B333" s="37">
        <v>0.01</v>
      </c>
      <c r="C333" s="37">
        <v>0.008</v>
      </c>
      <c r="D333" s="37">
        <v>0.681</v>
      </c>
      <c r="E333" s="37">
        <v>0.536</v>
      </c>
      <c r="F333">
        <v>0.0202</v>
      </c>
      <c r="G333">
        <v>1.4848</v>
      </c>
      <c r="I333" s="38"/>
      <c r="J333" s="39"/>
      <c r="K333" s="39"/>
      <c r="L333" s="39"/>
      <c r="M333" s="39"/>
      <c r="N333" s="40"/>
      <c r="O333" s="40"/>
    </row>
    <row r="334" spans="1:15">
      <c r="A334" s="28" t="s">
        <v>649</v>
      </c>
      <c r="B334" s="37">
        <v>0.01</v>
      </c>
      <c r="C334" s="37">
        <v>0.008</v>
      </c>
      <c r="D334" s="37">
        <v>0.679</v>
      </c>
      <c r="E334" s="37">
        <v>0.52</v>
      </c>
      <c r="F334">
        <v>0.0202</v>
      </c>
      <c r="G334">
        <v>1.5097</v>
      </c>
      <c r="I334" s="38"/>
      <c r="J334" s="39"/>
      <c r="K334" s="39"/>
      <c r="L334" s="39"/>
      <c r="M334" s="39"/>
      <c r="N334" s="40"/>
      <c r="O334" s="40"/>
    </row>
    <row r="335" spans="1:15">
      <c r="A335" s="28" t="s">
        <v>650</v>
      </c>
      <c r="B335" s="37">
        <v>0.009</v>
      </c>
      <c r="C335" s="37">
        <v>0.008</v>
      </c>
      <c r="D335" s="37">
        <v>0.608</v>
      </c>
      <c r="E335" s="37">
        <v>0.514</v>
      </c>
      <c r="F335">
        <v>0.0202</v>
      </c>
      <c r="G335">
        <v>1.5133</v>
      </c>
      <c r="I335" s="38"/>
      <c r="J335" s="39"/>
      <c r="K335" s="39"/>
      <c r="L335" s="39"/>
      <c r="M335" s="39"/>
      <c r="N335" s="40"/>
      <c r="O335" s="40"/>
    </row>
    <row r="336" spans="1:15">
      <c r="A336" s="28" t="s">
        <v>651</v>
      </c>
      <c r="B336" s="37">
        <v>0.01</v>
      </c>
      <c r="C336" s="37">
        <v>0.008</v>
      </c>
      <c r="D336" s="37">
        <v>0.654</v>
      </c>
      <c r="E336" s="37">
        <v>0.51</v>
      </c>
      <c r="F336">
        <v>0.02</v>
      </c>
      <c r="G336">
        <v>1.5309</v>
      </c>
      <c r="I336" s="38"/>
      <c r="J336" s="39"/>
      <c r="K336" s="39"/>
      <c r="L336" s="39"/>
      <c r="M336" s="39"/>
      <c r="N336" s="40"/>
      <c r="O336" s="40"/>
    </row>
    <row r="337" spans="1:15">
      <c r="A337" s="28" t="s">
        <v>652</v>
      </c>
      <c r="B337" s="37">
        <v>0.01</v>
      </c>
      <c r="C337" s="37">
        <v>0.008</v>
      </c>
      <c r="D337" s="37">
        <v>0.654</v>
      </c>
      <c r="E337" s="37">
        <v>0.509</v>
      </c>
      <c r="F337">
        <v>0.0202</v>
      </c>
      <c r="G337">
        <v>1.5599</v>
      </c>
      <c r="I337" s="38"/>
      <c r="J337" s="39"/>
      <c r="K337" s="39"/>
      <c r="L337" s="39"/>
      <c r="M337" s="39"/>
      <c r="N337" s="40"/>
      <c r="O337" s="40"/>
    </row>
    <row r="338" spans="1:15">
      <c r="A338" s="28" t="s">
        <v>653</v>
      </c>
      <c r="B338" s="37">
        <v>0.011</v>
      </c>
      <c r="C338" s="37">
        <v>0.008</v>
      </c>
      <c r="D338" s="37">
        <v>0.683</v>
      </c>
      <c r="E338" s="37">
        <v>0.498</v>
      </c>
      <c r="F338">
        <v>0.0204</v>
      </c>
      <c r="G338">
        <v>1.5601</v>
      </c>
      <c r="I338" s="38"/>
      <c r="J338" s="39"/>
      <c r="K338" s="39"/>
      <c r="L338" s="39"/>
      <c r="M338" s="39"/>
      <c r="N338" s="40"/>
      <c r="O338" s="40"/>
    </row>
    <row r="339" spans="1:15">
      <c r="A339" s="28" t="s">
        <v>654</v>
      </c>
      <c r="B339" s="37">
        <v>0.011</v>
      </c>
      <c r="C339" s="37">
        <v>0.009</v>
      </c>
      <c r="D339" s="37">
        <v>0.708</v>
      </c>
      <c r="E339" s="37">
        <v>0.552</v>
      </c>
      <c r="F339">
        <v>0.0206</v>
      </c>
      <c r="G339">
        <v>1.5725</v>
      </c>
      <c r="I339" s="38"/>
      <c r="J339" s="39"/>
      <c r="K339" s="39"/>
      <c r="L339" s="39"/>
      <c r="M339" s="39"/>
      <c r="N339" s="40"/>
      <c r="O339" s="40"/>
    </row>
    <row r="340" spans="1:15">
      <c r="A340" s="28" t="s">
        <v>655</v>
      </c>
      <c r="B340" s="37">
        <v>0.011</v>
      </c>
      <c r="C340" s="37">
        <v>0.016</v>
      </c>
      <c r="D340" s="37">
        <v>0.715</v>
      </c>
      <c r="E340" s="37">
        <v>0.951</v>
      </c>
      <c r="F340">
        <v>0.0209</v>
      </c>
      <c r="G340">
        <v>1.5713</v>
      </c>
      <c r="I340" s="38"/>
      <c r="J340" s="39"/>
      <c r="K340" s="39"/>
      <c r="L340" s="39"/>
      <c r="M340" s="39"/>
      <c r="N340" s="40"/>
      <c r="O340" s="40"/>
    </row>
    <row r="341" spans="1:15">
      <c r="A341" s="28" t="s">
        <v>656</v>
      </c>
      <c r="B341" s="37">
        <v>0.012</v>
      </c>
      <c r="C341" s="37">
        <v>0.019</v>
      </c>
      <c r="D341" s="37">
        <v>0.754</v>
      </c>
      <c r="E341" s="37">
        <v>1.159</v>
      </c>
      <c r="F341">
        <v>0.0209</v>
      </c>
      <c r="G341">
        <v>1.5859</v>
      </c>
      <c r="I341" s="38"/>
      <c r="J341" s="39"/>
      <c r="K341" s="39"/>
      <c r="L341" s="39"/>
      <c r="M341" s="39"/>
      <c r="N341" s="40"/>
      <c r="O341" s="40"/>
    </row>
    <row r="342" spans="1:15">
      <c r="A342" s="28" t="s">
        <v>657</v>
      </c>
      <c r="B342" s="37">
        <v>0.012</v>
      </c>
      <c r="C342" s="37">
        <v>0.019</v>
      </c>
      <c r="D342" s="37">
        <v>0.746</v>
      </c>
      <c r="E342" s="37">
        <v>1.175</v>
      </c>
      <c r="F342">
        <v>0.021</v>
      </c>
      <c r="G342">
        <v>1.6023</v>
      </c>
      <c r="I342" s="38"/>
      <c r="J342" s="39"/>
      <c r="K342" s="39"/>
      <c r="L342" s="39"/>
      <c r="M342" s="39"/>
      <c r="N342" s="40"/>
      <c r="O342" s="40"/>
    </row>
    <row r="343" spans="1:15">
      <c r="A343" s="28" t="s">
        <v>658</v>
      </c>
      <c r="B343" s="37">
        <v>0.012</v>
      </c>
      <c r="C343" s="37">
        <v>0.019</v>
      </c>
      <c r="D343" s="37">
        <v>0.745</v>
      </c>
      <c r="E343" s="37">
        <v>1.155</v>
      </c>
      <c r="F343">
        <v>0.021</v>
      </c>
      <c r="G343">
        <v>1.6066</v>
      </c>
      <c r="I343" s="38"/>
      <c r="J343" s="39"/>
      <c r="K343" s="39"/>
      <c r="L343" s="39"/>
      <c r="M343" s="39"/>
      <c r="N343" s="40"/>
      <c r="O343" s="40"/>
    </row>
    <row r="344" spans="1:15">
      <c r="A344" s="28" t="s">
        <v>659</v>
      </c>
      <c r="B344" s="37">
        <v>0.013</v>
      </c>
      <c r="C344" s="37">
        <v>0.016</v>
      </c>
      <c r="D344" s="37">
        <v>0.783</v>
      </c>
      <c r="E344" s="37">
        <v>0.956</v>
      </c>
      <c r="F344">
        <v>0.0211</v>
      </c>
      <c r="G344">
        <v>1.619</v>
      </c>
      <c r="I344" s="38"/>
      <c r="J344" s="39"/>
      <c r="K344" s="39"/>
      <c r="L344" s="39"/>
      <c r="M344" s="39"/>
      <c r="N344" s="40"/>
      <c r="O344" s="40"/>
    </row>
    <row r="345" spans="1:15">
      <c r="A345" s="28" t="s">
        <v>660</v>
      </c>
      <c r="B345" s="37">
        <v>0.014</v>
      </c>
      <c r="C345" s="37">
        <v>0.016</v>
      </c>
      <c r="D345" s="37">
        <v>0.822</v>
      </c>
      <c r="E345" s="37">
        <v>0.955</v>
      </c>
      <c r="F345">
        <v>0.021</v>
      </c>
      <c r="G345">
        <v>1.6769</v>
      </c>
      <c r="I345" s="38"/>
      <c r="J345" s="39"/>
      <c r="K345" s="39"/>
      <c r="L345" s="39"/>
      <c r="M345" s="39"/>
      <c r="N345" s="40"/>
      <c r="O345" s="40"/>
    </row>
    <row r="346" spans="1:15">
      <c r="A346" s="28" t="s">
        <v>661</v>
      </c>
      <c r="B346" s="37">
        <v>0.014</v>
      </c>
      <c r="C346" s="37">
        <v>0.016</v>
      </c>
      <c r="D346" s="37">
        <v>0.855</v>
      </c>
      <c r="E346" s="37">
        <v>0.936</v>
      </c>
      <c r="F346">
        <v>0.021</v>
      </c>
      <c r="G346">
        <v>1.7005</v>
      </c>
      <c r="I346" s="38"/>
      <c r="J346" s="39"/>
      <c r="K346" s="39"/>
      <c r="L346" s="39"/>
      <c r="M346" s="39"/>
      <c r="N346" s="40"/>
      <c r="O346" s="40"/>
    </row>
    <row r="347" spans="1:15">
      <c r="A347" s="28" t="s">
        <v>662</v>
      </c>
      <c r="B347" s="37">
        <v>0.016</v>
      </c>
      <c r="C347" s="37">
        <v>0.016</v>
      </c>
      <c r="D347" s="37">
        <v>0.92</v>
      </c>
      <c r="E347" s="37">
        <v>0.912</v>
      </c>
      <c r="F347">
        <v>0.0212</v>
      </c>
      <c r="G347">
        <v>1.7666</v>
      </c>
      <c r="I347" s="38"/>
      <c r="J347" s="39"/>
      <c r="K347" s="39"/>
      <c r="L347" s="39"/>
      <c r="M347" s="39"/>
      <c r="N347" s="40"/>
      <c r="O347" s="40"/>
    </row>
    <row r="348" spans="1:15">
      <c r="A348" s="28" t="s">
        <v>663</v>
      </c>
      <c r="B348" s="37">
        <v>0.016</v>
      </c>
      <c r="C348" s="37">
        <v>0.016</v>
      </c>
      <c r="D348" s="37">
        <v>0.951</v>
      </c>
      <c r="E348" s="37">
        <v>0.901</v>
      </c>
      <c r="F348">
        <v>0.0211</v>
      </c>
      <c r="G348">
        <v>1.7845</v>
      </c>
      <c r="I348" s="38"/>
      <c r="J348" s="39"/>
      <c r="K348" s="39"/>
      <c r="L348" s="39"/>
      <c r="M348" s="39"/>
      <c r="N348" s="40"/>
      <c r="O348" s="40"/>
    </row>
    <row r="349" spans="1:15">
      <c r="A349" s="28" t="s">
        <v>664</v>
      </c>
      <c r="B349" s="37">
        <v>0.017</v>
      </c>
      <c r="C349" s="37">
        <v>0.016</v>
      </c>
      <c r="D349" s="37">
        <v>0.949</v>
      </c>
      <c r="E349" s="37">
        <v>0.896</v>
      </c>
      <c r="F349">
        <v>0.0211</v>
      </c>
      <c r="G349">
        <v>1.8288</v>
      </c>
      <c r="I349" s="38"/>
      <c r="J349" s="39"/>
      <c r="K349" s="39"/>
      <c r="L349" s="39"/>
      <c r="M349" s="39"/>
      <c r="N349" s="40"/>
      <c r="O349" s="40"/>
    </row>
    <row r="350" spans="1:15">
      <c r="A350" s="28" t="s">
        <v>665</v>
      </c>
      <c r="B350" s="37">
        <v>0.017</v>
      </c>
      <c r="C350" s="37">
        <v>0.008</v>
      </c>
      <c r="D350" s="37">
        <v>0.972</v>
      </c>
      <c r="E350" s="37">
        <v>0.43</v>
      </c>
      <c r="F350">
        <v>0.0213</v>
      </c>
      <c r="G350">
        <v>1.8447</v>
      </c>
      <c r="I350" s="38"/>
      <c r="J350" s="39"/>
      <c r="K350" s="39"/>
      <c r="L350" s="39"/>
      <c r="M350" s="39"/>
      <c r="N350" s="40"/>
      <c r="O350" s="40"/>
    </row>
    <row r="351" spans="1:15">
      <c r="A351" s="28" t="s">
        <v>666</v>
      </c>
      <c r="B351" s="37">
        <v>0.016</v>
      </c>
      <c r="C351" s="37">
        <v>0.008</v>
      </c>
      <c r="D351" s="37">
        <v>0.92</v>
      </c>
      <c r="E351" s="37">
        <v>0.428</v>
      </c>
      <c r="F351">
        <v>0.0215</v>
      </c>
      <c r="G351">
        <v>1.8475</v>
      </c>
      <c r="I351" s="38"/>
      <c r="J351" s="39"/>
      <c r="K351" s="39"/>
      <c r="L351" s="39"/>
      <c r="M351" s="39"/>
      <c r="N351" s="40"/>
      <c r="O351" s="40"/>
    </row>
    <row r="352" spans="1:15">
      <c r="A352" s="28" t="s">
        <v>667</v>
      </c>
      <c r="B352" s="37">
        <v>0.016</v>
      </c>
      <c r="C352" s="37">
        <v>0.008</v>
      </c>
      <c r="D352" s="37">
        <v>0.868</v>
      </c>
      <c r="E352" s="37">
        <v>0.423</v>
      </c>
      <c r="F352">
        <v>0.0216</v>
      </c>
      <c r="G352">
        <v>1.8642</v>
      </c>
      <c r="I352" s="38"/>
      <c r="J352" s="39"/>
      <c r="K352" s="39"/>
      <c r="L352" s="39"/>
      <c r="M352" s="39"/>
      <c r="N352" s="40"/>
      <c r="O352" s="40"/>
    </row>
    <row r="353" spans="1:15">
      <c r="A353" s="28" t="s">
        <v>668</v>
      </c>
      <c r="B353" s="37">
        <v>0.016</v>
      </c>
      <c r="C353" s="37">
        <v>0.008</v>
      </c>
      <c r="D353" s="37">
        <v>0.877</v>
      </c>
      <c r="E353" s="37">
        <v>0.418</v>
      </c>
      <c r="F353">
        <v>0.0219</v>
      </c>
      <c r="G353">
        <v>1.8654</v>
      </c>
      <c r="I353" s="38"/>
      <c r="J353" s="39"/>
      <c r="K353" s="39"/>
      <c r="L353" s="39"/>
      <c r="M353" s="39"/>
      <c r="N353" s="40"/>
      <c r="O353" s="40"/>
    </row>
    <row r="354" spans="1:15">
      <c r="A354" s="28" t="s">
        <v>669</v>
      </c>
      <c r="B354" s="37">
        <v>0.015</v>
      </c>
      <c r="C354" s="37">
        <v>0.011</v>
      </c>
      <c r="D354" s="37">
        <v>0.828</v>
      </c>
      <c r="E354" s="37">
        <v>0.605</v>
      </c>
      <c r="F354">
        <v>0.0217</v>
      </c>
      <c r="G354">
        <v>1.8729</v>
      </c>
      <c r="I354" s="38"/>
      <c r="J354" s="39"/>
      <c r="K354" s="39"/>
      <c r="L354" s="39"/>
      <c r="M354" s="39"/>
      <c r="N354" s="40"/>
      <c r="O354" s="40"/>
    </row>
    <row r="355" spans="1:15">
      <c r="A355" s="28" t="s">
        <v>670</v>
      </c>
      <c r="B355" s="37">
        <v>0.016</v>
      </c>
      <c r="C355" s="37">
        <v>0.011</v>
      </c>
      <c r="D355" s="37">
        <v>0.847</v>
      </c>
      <c r="E355" s="37">
        <v>0.604</v>
      </c>
      <c r="F355">
        <v>0.0219</v>
      </c>
      <c r="G355">
        <v>1.9221</v>
      </c>
      <c r="I355" s="38"/>
      <c r="J355" s="39"/>
      <c r="K355" s="39"/>
      <c r="L355" s="39"/>
      <c r="M355" s="39"/>
      <c r="N355" s="40"/>
      <c r="O355" s="40"/>
    </row>
    <row r="356" spans="1:15">
      <c r="A356" s="28" t="s">
        <v>671</v>
      </c>
      <c r="B356" s="37">
        <v>0.016</v>
      </c>
      <c r="C356" s="37">
        <v>0.011</v>
      </c>
      <c r="D356" s="37">
        <v>0.847</v>
      </c>
      <c r="E356" s="37">
        <v>0.593</v>
      </c>
      <c r="F356">
        <v>0.0219</v>
      </c>
      <c r="G356">
        <v>1.9323</v>
      </c>
      <c r="I356" s="38"/>
      <c r="J356" s="39"/>
      <c r="K356" s="39"/>
      <c r="L356" s="39"/>
      <c r="M356" s="39"/>
      <c r="N356" s="40"/>
      <c r="O356" s="40"/>
    </row>
    <row r="357" spans="1:15">
      <c r="A357" s="28" t="s">
        <v>672</v>
      </c>
      <c r="B357" s="37">
        <v>0.015</v>
      </c>
      <c r="C357" s="37">
        <v>0.011</v>
      </c>
      <c r="D357" s="37">
        <v>0.773</v>
      </c>
      <c r="E357" s="37">
        <v>0.605</v>
      </c>
      <c r="F357">
        <v>0.0221</v>
      </c>
      <c r="G357">
        <v>1.9464</v>
      </c>
      <c r="I357" s="38"/>
      <c r="J357" s="39"/>
      <c r="K357" s="39"/>
      <c r="L357" s="39"/>
      <c r="M357" s="39"/>
      <c r="N357" s="40"/>
      <c r="O357" s="40"/>
    </row>
    <row r="358" spans="1:15">
      <c r="A358" s="28" t="s">
        <v>673</v>
      </c>
      <c r="B358" s="37">
        <v>0.014</v>
      </c>
      <c r="C358" s="37">
        <v>0.011</v>
      </c>
      <c r="D358" s="37">
        <v>0.731</v>
      </c>
      <c r="E358" s="37">
        <v>0.594</v>
      </c>
      <c r="F358">
        <v>0.0221</v>
      </c>
      <c r="G358">
        <v>1.9705</v>
      </c>
      <c r="I358" s="38"/>
      <c r="J358" s="39"/>
      <c r="K358" s="39"/>
      <c r="L358" s="39"/>
      <c r="M358" s="39"/>
      <c r="N358" s="40"/>
      <c r="O358" s="40"/>
    </row>
    <row r="359" spans="1:15">
      <c r="A359" s="28" t="s">
        <v>674</v>
      </c>
      <c r="B359" s="37">
        <v>0.014</v>
      </c>
      <c r="C359" s="37">
        <v>0.011</v>
      </c>
      <c r="D359" s="37">
        <v>0.718</v>
      </c>
      <c r="E359" s="37">
        <v>0.592</v>
      </c>
      <c r="F359">
        <v>0.0224</v>
      </c>
      <c r="G359">
        <v>1.9831</v>
      </c>
      <c r="I359" s="38"/>
      <c r="J359" s="39"/>
      <c r="K359" s="39"/>
      <c r="L359" s="39"/>
      <c r="M359" s="39"/>
      <c r="N359" s="40"/>
      <c r="O359" s="40"/>
    </row>
    <row r="360" spans="1:15">
      <c r="A360" s="28" t="s">
        <v>675</v>
      </c>
      <c r="B360" s="37">
        <v>0.014</v>
      </c>
      <c r="C360" s="37">
        <v>0.011</v>
      </c>
      <c r="D360" s="37">
        <v>0.722</v>
      </c>
      <c r="E360" s="37">
        <v>0.596</v>
      </c>
      <c r="F360">
        <v>0.0222</v>
      </c>
      <c r="G360">
        <v>1.9827</v>
      </c>
      <c r="I360" s="38"/>
      <c r="J360" s="39"/>
      <c r="K360" s="39"/>
      <c r="L360" s="39"/>
      <c r="M360" s="39"/>
      <c r="N360" s="40"/>
      <c r="O360" s="40"/>
    </row>
    <row r="361" spans="1:15">
      <c r="A361" s="28" t="s">
        <v>676</v>
      </c>
      <c r="B361" s="37">
        <v>0.013</v>
      </c>
      <c r="C361" s="37">
        <v>0.011</v>
      </c>
      <c r="D361" s="37">
        <v>0.669</v>
      </c>
      <c r="E361" s="37">
        <v>0.587</v>
      </c>
      <c r="F361">
        <v>0.0219</v>
      </c>
      <c r="G361">
        <v>1.989</v>
      </c>
      <c r="I361" s="38"/>
      <c r="J361" s="39"/>
      <c r="K361" s="39"/>
      <c r="L361" s="39"/>
      <c r="M361" s="39"/>
      <c r="N361" s="40"/>
      <c r="O361" s="40"/>
    </row>
    <row r="362" spans="1:15">
      <c r="A362" s="28" t="s">
        <v>677</v>
      </c>
      <c r="B362" s="37">
        <v>0.015</v>
      </c>
      <c r="C362" s="37">
        <v>0.011</v>
      </c>
      <c r="D362" s="37">
        <v>0.732</v>
      </c>
      <c r="E362" s="37">
        <v>0.589</v>
      </c>
      <c r="F362">
        <v>0.0219</v>
      </c>
      <c r="G362">
        <v>1.9619</v>
      </c>
      <c r="I362" s="38"/>
      <c r="J362" s="39"/>
      <c r="K362" s="39"/>
      <c r="L362" s="39"/>
      <c r="M362" s="39"/>
      <c r="N362" s="40"/>
      <c r="O362" s="40"/>
    </row>
    <row r="363" spans="1:15">
      <c r="A363" s="28" t="s">
        <v>678</v>
      </c>
      <c r="B363" s="37">
        <v>0.014</v>
      </c>
      <c r="C363" s="37">
        <v>0.017</v>
      </c>
      <c r="D363" s="37">
        <v>0.715</v>
      </c>
      <c r="E363" s="37">
        <v>0.889</v>
      </c>
      <c r="F363">
        <v>0.0217</v>
      </c>
      <c r="G363">
        <v>1.9975</v>
      </c>
      <c r="I363" s="38"/>
      <c r="J363" s="39"/>
      <c r="K363" s="39"/>
      <c r="L363" s="39"/>
      <c r="M363" s="39"/>
      <c r="N363" s="40"/>
      <c r="O363" s="40"/>
    </row>
    <row r="364" spans="1:15">
      <c r="A364" s="28" t="s">
        <v>679</v>
      </c>
      <c r="B364" s="37">
        <v>0.015</v>
      </c>
      <c r="C364" s="37">
        <v>0.019</v>
      </c>
      <c r="D364" s="37">
        <v>0.718</v>
      </c>
      <c r="E364" s="37">
        <v>0.981</v>
      </c>
      <c r="F364">
        <v>0.022</v>
      </c>
      <c r="G364">
        <v>2.024</v>
      </c>
      <c r="I364" s="38"/>
      <c r="J364" s="39"/>
      <c r="K364" s="39"/>
      <c r="L364" s="39"/>
      <c r="M364" s="39"/>
      <c r="N364" s="40"/>
      <c r="O364" s="40"/>
    </row>
    <row r="365" spans="1:15">
      <c r="A365" s="28" t="s">
        <v>680</v>
      </c>
      <c r="B365" s="37">
        <v>0.014</v>
      </c>
      <c r="C365" s="37">
        <v>0.011</v>
      </c>
      <c r="D365" s="37">
        <v>0.7</v>
      </c>
      <c r="E365" s="37">
        <v>0.569</v>
      </c>
      <c r="F365">
        <v>0.0221</v>
      </c>
      <c r="G365">
        <v>2.0435</v>
      </c>
      <c r="I365" s="38"/>
      <c r="J365" s="39"/>
      <c r="K365" s="39"/>
      <c r="L365" s="39"/>
      <c r="M365" s="39"/>
      <c r="N365" s="40"/>
      <c r="O365" s="40"/>
    </row>
    <row r="366" spans="1:15">
      <c r="A366" s="28" t="s">
        <v>681</v>
      </c>
      <c r="B366" s="37">
        <v>0.014</v>
      </c>
      <c r="C366" s="37">
        <v>0.011</v>
      </c>
      <c r="D366" s="37">
        <v>0.695</v>
      </c>
      <c r="E366" s="37">
        <v>0.562</v>
      </c>
      <c r="F366">
        <v>0.0222</v>
      </c>
      <c r="G366">
        <v>2.0469</v>
      </c>
      <c r="I366" s="38"/>
      <c r="J366" s="39"/>
      <c r="K366" s="39"/>
      <c r="L366" s="39"/>
      <c r="M366" s="39"/>
      <c r="N366" s="40"/>
      <c r="O366" s="40"/>
    </row>
    <row r="367" spans="1:15">
      <c r="A367" s="28" t="s">
        <v>682</v>
      </c>
      <c r="B367" s="37">
        <v>0.014</v>
      </c>
      <c r="C367" s="37">
        <v>0.011</v>
      </c>
      <c r="D367" s="37">
        <v>0.691</v>
      </c>
      <c r="E367" s="37">
        <v>0.561</v>
      </c>
      <c r="F367">
        <v>0.0223</v>
      </c>
      <c r="G367">
        <v>2.0865</v>
      </c>
      <c r="I367" s="38"/>
      <c r="J367" s="39"/>
      <c r="K367" s="39"/>
      <c r="L367" s="39"/>
      <c r="M367" s="39"/>
      <c r="N367" s="40"/>
      <c r="O367" s="40"/>
    </row>
    <row r="368" spans="1:15">
      <c r="A368" s="28" t="s">
        <v>683</v>
      </c>
      <c r="B368" s="37">
        <v>0.016</v>
      </c>
      <c r="C368" s="37">
        <v>0.011</v>
      </c>
      <c r="D368" s="37">
        <v>0.75</v>
      </c>
      <c r="E368" s="37">
        <v>0.556</v>
      </c>
      <c r="F368">
        <v>0.0225</v>
      </c>
      <c r="G368">
        <v>2.1251</v>
      </c>
      <c r="I368" s="38"/>
      <c r="J368" s="39"/>
      <c r="K368" s="39"/>
      <c r="L368" s="39"/>
      <c r="M368" s="39"/>
      <c r="N368" s="40"/>
      <c r="O368" s="40"/>
    </row>
    <row r="369" spans="1:15">
      <c r="A369" s="28" t="s">
        <v>684</v>
      </c>
      <c r="B369" s="37">
        <v>0.016</v>
      </c>
      <c r="C369" s="37">
        <v>0.011</v>
      </c>
      <c r="D369" s="37">
        <v>0.76</v>
      </c>
      <c r="E369" s="37">
        <v>0.557</v>
      </c>
      <c r="F369">
        <v>0.0226</v>
      </c>
      <c r="G369">
        <v>2.1399</v>
      </c>
      <c r="I369" s="38"/>
      <c r="J369" s="39"/>
      <c r="K369" s="39"/>
      <c r="L369" s="39"/>
      <c r="M369" s="39"/>
      <c r="N369" s="40"/>
      <c r="O369" s="40"/>
    </row>
    <row r="370" spans="1:15">
      <c r="A370" s="28" t="s">
        <v>685</v>
      </c>
      <c r="B370" s="37">
        <v>0.016</v>
      </c>
      <c r="C370" s="37">
        <v>0.008</v>
      </c>
      <c r="D370" s="37">
        <v>0.756</v>
      </c>
      <c r="E370" s="37">
        <v>0.372</v>
      </c>
      <c r="F370">
        <v>0.0227</v>
      </c>
      <c r="G370">
        <v>2.1658</v>
      </c>
      <c r="I370" s="38"/>
      <c r="J370" s="39"/>
      <c r="K370" s="39"/>
      <c r="L370" s="39"/>
      <c r="M370" s="39"/>
      <c r="N370" s="40"/>
      <c r="O370" s="40"/>
    </row>
    <row r="371" spans="1:15">
      <c r="A371" s="28" t="s">
        <v>686</v>
      </c>
      <c r="B371" s="37">
        <v>0.016</v>
      </c>
      <c r="C371" s="37">
        <v>0.008</v>
      </c>
      <c r="D371" s="37">
        <v>0.759</v>
      </c>
      <c r="E371" s="37">
        <v>0.373</v>
      </c>
      <c r="F371">
        <v>0.0229</v>
      </c>
      <c r="G371">
        <v>2.1735</v>
      </c>
      <c r="I371" s="38"/>
      <c r="J371" s="39"/>
      <c r="K371" s="39"/>
      <c r="L371" s="39"/>
      <c r="M371" s="39"/>
      <c r="N371" s="40"/>
      <c r="O371" s="40"/>
    </row>
    <row r="372" spans="1:15">
      <c r="A372" s="28" t="s">
        <v>687</v>
      </c>
      <c r="B372" s="37">
        <v>0.017</v>
      </c>
      <c r="C372" s="37">
        <v>0.008</v>
      </c>
      <c r="D372" s="37">
        <v>0.807</v>
      </c>
      <c r="E372" s="37">
        <v>0.371</v>
      </c>
      <c r="F372">
        <v>0.023</v>
      </c>
      <c r="G372">
        <v>2.2649</v>
      </c>
      <c r="I372" s="38"/>
      <c r="J372" s="39"/>
      <c r="K372" s="39"/>
      <c r="L372" s="39"/>
      <c r="M372" s="39"/>
      <c r="N372" s="40"/>
      <c r="O372" s="40"/>
    </row>
    <row r="373" spans="1:15">
      <c r="A373" s="28" t="s">
        <v>688</v>
      </c>
      <c r="B373" s="37">
        <v>0.02</v>
      </c>
      <c r="C373" s="37">
        <v>0.009</v>
      </c>
      <c r="D373" s="37">
        <v>0.901</v>
      </c>
      <c r="E373" s="37">
        <v>0.43</v>
      </c>
      <c r="F373">
        <v>0.0231</v>
      </c>
      <c r="G373">
        <v>2.2966</v>
      </c>
      <c r="I373" s="38"/>
      <c r="J373" s="39"/>
      <c r="K373" s="39"/>
      <c r="L373" s="39"/>
      <c r="M373" s="39"/>
      <c r="N373" s="40"/>
      <c r="O373" s="40"/>
    </row>
    <row r="374" spans="1:15">
      <c r="A374" s="28" t="s">
        <v>689</v>
      </c>
      <c r="B374" s="37">
        <v>0.02</v>
      </c>
      <c r="C374" s="37">
        <v>0.009</v>
      </c>
      <c r="D374" s="37">
        <v>0.927</v>
      </c>
      <c r="E374" s="37">
        <v>0.421</v>
      </c>
      <c r="F374">
        <v>0.0232</v>
      </c>
      <c r="G374">
        <v>2.3375</v>
      </c>
      <c r="I374" s="38"/>
      <c r="J374" s="39"/>
      <c r="K374" s="39"/>
      <c r="L374" s="39"/>
      <c r="M374" s="39"/>
      <c r="N374" s="40"/>
      <c r="O374" s="40"/>
    </row>
    <row r="375" spans="1:15">
      <c r="A375" s="28" t="s">
        <v>690</v>
      </c>
      <c r="B375" s="37">
        <v>0.019</v>
      </c>
      <c r="C375" s="37">
        <v>0.009</v>
      </c>
      <c r="D375" s="37">
        <v>0.849</v>
      </c>
      <c r="E375" s="37">
        <v>0.406</v>
      </c>
      <c r="F375">
        <v>0.0233</v>
      </c>
      <c r="G375">
        <v>2.3693</v>
      </c>
      <c r="I375" s="38"/>
      <c r="J375" s="39"/>
      <c r="K375" s="39"/>
      <c r="L375" s="39"/>
      <c r="M375" s="39"/>
      <c r="N375" s="40"/>
      <c r="O375" s="40"/>
    </row>
    <row r="376" spans="1:15">
      <c r="A376" s="28" t="s">
        <v>691</v>
      </c>
      <c r="B376" s="37">
        <v>0.019</v>
      </c>
      <c r="C376" s="37">
        <v>0.009</v>
      </c>
      <c r="D376" s="37">
        <v>0.825</v>
      </c>
      <c r="E376" s="37">
        <v>0.393</v>
      </c>
      <c r="F376">
        <v>0.0235</v>
      </c>
      <c r="G376">
        <v>2.3856</v>
      </c>
      <c r="I376" s="38"/>
      <c r="J376" s="39"/>
      <c r="K376" s="39"/>
      <c r="L376" s="39"/>
      <c r="M376" s="39"/>
      <c r="N376" s="40"/>
      <c r="O376" s="40"/>
    </row>
    <row r="377" spans="1:15">
      <c r="A377" s="28" t="s">
        <v>692</v>
      </c>
      <c r="B377" s="37">
        <v>0.018</v>
      </c>
      <c r="C377" s="37">
        <v>0.009</v>
      </c>
      <c r="D377" s="37">
        <v>0.805</v>
      </c>
      <c r="E377" s="37">
        <v>0.392</v>
      </c>
      <c r="F377">
        <v>0.0236</v>
      </c>
      <c r="G377">
        <v>2.4176</v>
      </c>
      <c r="I377" s="38"/>
      <c r="J377" s="39"/>
      <c r="K377" s="39"/>
      <c r="L377" s="39"/>
      <c r="M377" s="39"/>
      <c r="N377" s="40"/>
      <c r="O377" s="40"/>
    </row>
    <row r="378" spans="1:15">
      <c r="A378" s="28" t="s">
        <v>693</v>
      </c>
      <c r="B378" s="37">
        <v>0.019</v>
      </c>
      <c r="C378" s="37">
        <v>0.006</v>
      </c>
      <c r="D378" s="37">
        <v>0.819</v>
      </c>
      <c r="E378" s="37">
        <v>0.254</v>
      </c>
      <c r="F378">
        <v>0.0236</v>
      </c>
      <c r="G378">
        <v>2.4767</v>
      </c>
      <c r="I378" s="38"/>
      <c r="J378" s="39"/>
      <c r="K378" s="39"/>
      <c r="L378" s="39"/>
      <c r="M378" s="39"/>
      <c r="N378" s="40"/>
      <c r="O378" s="40"/>
    </row>
    <row r="379" spans="1:15">
      <c r="A379" s="28" t="s">
        <v>694</v>
      </c>
      <c r="B379" s="37">
        <v>0.019</v>
      </c>
      <c r="C379" s="37">
        <v>0.01</v>
      </c>
      <c r="D379" s="37">
        <v>0.822</v>
      </c>
      <c r="E379" s="37">
        <v>0.443</v>
      </c>
      <c r="F379">
        <v>0.0236</v>
      </c>
      <c r="G379">
        <v>2.4699</v>
      </c>
      <c r="I379" s="38"/>
      <c r="J379" s="39"/>
      <c r="K379" s="39"/>
      <c r="L379" s="39"/>
      <c r="M379" s="39"/>
      <c r="N379" s="40"/>
      <c r="O379" s="40"/>
    </row>
    <row r="380" spans="1:15">
      <c r="A380" s="28" t="s">
        <v>695</v>
      </c>
      <c r="B380" s="37">
        <v>0.019</v>
      </c>
      <c r="C380" s="37">
        <v>0.01</v>
      </c>
      <c r="D380" s="37">
        <v>0.819</v>
      </c>
      <c r="E380" s="37">
        <v>0.435</v>
      </c>
      <c r="F380">
        <v>0.0238</v>
      </c>
      <c r="G380">
        <v>2.4952</v>
      </c>
      <c r="I380" s="38"/>
      <c r="J380" s="39"/>
      <c r="K380" s="39"/>
      <c r="L380" s="39"/>
      <c r="M380" s="39"/>
      <c r="N380" s="40"/>
      <c r="O380" s="40"/>
    </row>
    <row r="381" spans="1:15">
      <c r="A381" s="28" t="s">
        <v>696</v>
      </c>
      <c r="B381" s="37">
        <v>0.019</v>
      </c>
      <c r="C381" s="37">
        <v>0.01</v>
      </c>
      <c r="D381" s="37">
        <v>0.79</v>
      </c>
      <c r="E381" s="37">
        <v>0.437</v>
      </c>
      <c r="F381">
        <v>0.0239</v>
      </c>
      <c r="G381">
        <v>2.49</v>
      </c>
      <c r="I381" s="38"/>
      <c r="J381" s="39"/>
      <c r="K381" s="39"/>
      <c r="L381" s="39"/>
      <c r="M381" s="39"/>
      <c r="N381" s="40"/>
      <c r="O381" s="40"/>
    </row>
    <row r="382" spans="1:15">
      <c r="A382" s="28" t="s">
        <v>697</v>
      </c>
      <c r="B382" s="37">
        <v>0.018</v>
      </c>
      <c r="C382" s="37">
        <v>0.004</v>
      </c>
      <c r="D382" s="37">
        <v>0.776</v>
      </c>
      <c r="E382" s="37">
        <v>0.194</v>
      </c>
      <c r="F382">
        <v>0.0242</v>
      </c>
      <c r="G382">
        <v>2.5553</v>
      </c>
      <c r="I382" s="38"/>
      <c r="J382" s="39"/>
      <c r="K382" s="39"/>
      <c r="L382" s="39"/>
      <c r="M382" s="39"/>
      <c r="N382" s="40"/>
      <c r="O382" s="40"/>
    </row>
    <row r="383" spans="1:15">
      <c r="A383" s="28" t="s">
        <v>698</v>
      </c>
      <c r="B383" s="37">
        <v>0.018</v>
      </c>
      <c r="C383" s="37">
        <v>0.004</v>
      </c>
      <c r="D383" s="37">
        <v>0.768</v>
      </c>
      <c r="E383" s="37">
        <v>0.194</v>
      </c>
      <c r="F383">
        <v>0.0245</v>
      </c>
      <c r="G383">
        <v>2.5758</v>
      </c>
      <c r="I383" s="38"/>
      <c r="J383" s="39"/>
      <c r="K383" s="39"/>
      <c r="L383" s="39"/>
      <c r="M383" s="39"/>
      <c r="N383" s="40"/>
      <c r="O383" s="40"/>
    </row>
    <row r="384" spans="1:15">
      <c r="A384" s="28" t="s">
        <v>699</v>
      </c>
      <c r="B384" s="37">
        <v>0.017</v>
      </c>
      <c r="C384" s="37">
        <v>0.004</v>
      </c>
      <c r="D384" s="37">
        <v>0.706</v>
      </c>
      <c r="E384" s="37">
        <v>0.192</v>
      </c>
      <c r="F384">
        <v>0.0246</v>
      </c>
      <c r="G384">
        <v>2.6188</v>
      </c>
      <c r="I384" s="38"/>
      <c r="J384" s="39"/>
      <c r="K384" s="39"/>
      <c r="L384" s="39"/>
      <c r="M384" s="39"/>
      <c r="N384" s="40"/>
      <c r="O384" s="40"/>
    </row>
    <row r="385" spans="1:15">
      <c r="A385" s="28" t="s">
        <v>700</v>
      </c>
      <c r="B385" s="37">
        <v>0.017</v>
      </c>
      <c r="C385" s="37">
        <v>0.004</v>
      </c>
      <c r="D385" s="37">
        <v>0.691</v>
      </c>
      <c r="E385" s="37">
        <v>0.189</v>
      </c>
      <c r="F385">
        <v>0.0247</v>
      </c>
      <c r="G385">
        <v>2.5999</v>
      </c>
      <c r="I385" s="38"/>
      <c r="J385" s="39"/>
      <c r="K385" s="39"/>
      <c r="L385" s="39"/>
      <c r="M385" s="39"/>
      <c r="N385" s="40"/>
      <c r="O385" s="40"/>
    </row>
    <row r="386" spans="1:15">
      <c r="A386" s="28" t="s">
        <v>701</v>
      </c>
      <c r="B386" s="37">
        <v>0.016</v>
      </c>
      <c r="C386" s="37">
        <v>0.004</v>
      </c>
      <c r="D386" s="37">
        <v>0.649</v>
      </c>
      <c r="E386" s="37">
        <v>0.187</v>
      </c>
      <c r="F386">
        <v>0.0246</v>
      </c>
      <c r="G386">
        <v>2.6714</v>
      </c>
      <c r="I386" s="38"/>
      <c r="J386" s="39"/>
      <c r="K386" s="39"/>
      <c r="L386" s="39"/>
      <c r="M386" s="39"/>
      <c r="N386" s="40"/>
      <c r="O386" s="40"/>
    </row>
    <row r="387" spans="1:15">
      <c r="A387" s="28" t="s">
        <v>702</v>
      </c>
      <c r="B387" s="37">
        <v>0.016</v>
      </c>
      <c r="C387" s="37">
        <v>0.004</v>
      </c>
      <c r="D387" s="37">
        <v>0.624</v>
      </c>
      <c r="E387" s="37">
        <v>0.189</v>
      </c>
      <c r="F387">
        <v>0.0248</v>
      </c>
      <c r="G387">
        <v>2.7042</v>
      </c>
      <c r="I387" s="38"/>
      <c r="J387" s="39"/>
      <c r="K387" s="39"/>
      <c r="L387" s="39"/>
      <c r="M387" s="39"/>
      <c r="N387" s="40"/>
      <c r="O387" s="40"/>
    </row>
    <row r="388" spans="1:15">
      <c r="A388" s="28" t="s">
        <v>703</v>
      </c>
      <c r="B388" s="37">
        <v>0.015</v>
      </c>
      <c r="C388" s="37">
        <v>0.004</v>
      </c>
      <c r="D388" s="37">
        <v>0.597</v>
      </c>
      <c r="E388" s="37">
        <v>0.189</v>
      </c>
      <c r="F388">
        <v>0.0249</v>
      </c>
      <c r="G388">
        <v>2.7561</v>
      </c>
      <c r="I388" s="38"/>
      <c r="J388" s="39"/>
      <c r="K388" s="39"/>
      <c r="L388" s="39"/>
      <c r="M388" s="39"/>
      <c r="N388" s="40"/>
      <c r="O388" s="40"/>
    </row>
    <row r="389" spans="1:15">
      <c r="A389" s="28" t="s">
        <v>704</v>
      </c>
      <c r="B389" s="37">
        <v>0.014</v>
      </c>
      <c r="C389" s="37">
        <v>0.004</v>
      </c>
      <c r="D389" s="37">
        <v>0.548</v>
      </c>
      <c r="E389" s="37">
        <v>0.188</v>
      </c>
      <c r="F389">
        <v>0.0252</v>
      </c>
      <c r="G389">
        <v>2.8071</v>
      </c>
      <c r="I389" s="38"/>
      <c r="J389" s="39"/>
      <c r="K389" s="39"/>
      <c r="L389" s="39"/>
      <c r="M389" s="39"/>
      <c r="N389" s="40"/>
      <c r="O389" s="40"/>
    </row>
    <row r="390" spans="1:15">
      <c r="A390" s="28" t="s">
        <v>705</v>
      </c>
      <c r="B390" s="37">
        <v>0.014</v>
      </c>
      <c r="C390" s="37">
        <v>0.004</v>
      </c>
      <c r="D390" s="37">
        <v>0.552</v>
      </c>
      <c r="E390" s="37">
        <v>0.188</v>
      </c>
      <c r="F390">
        <v>0.0253</v>
      </c>
      <c r="G390">
        <v>2.8669</v>
      </c>
      <c r="I390" s="38"/>
      <c r="J390" s="39"/>
      <c r="K390" s="39"/>
      <c r="L390" s="39"/>
      <c r="M390" s="39"/>
      <c r="N390" s="40"/>
      <c r="O390" s="40"/>
    </row>
    <row r="391" spans="1:15">
      <c r="A391" s="28" t="s">
        <v>706</v>
      </c>
      <c r="B391" s="37">
        <v>0.015</v>
      </c>
      <c r="C391" s="37">
        <v>0.004</v>
      </c>
      <c r="D391" s="37">
        <v>0.593</v>
      </c>
      <c r="E391" s="37">
        <v>0.184</v>
      </c>
      <c r="F391">
        <v>0.0251</v>
      </c>
      <c r="G391">
        <v>2.8693</v>
      </c>
      <c r="I391" s="38"/>
      <c r="J391" s="39"/>
      <c r="K391" s="39"/>
      <c r="L391" s="39"/>
      <c r="M391" s="39"/>
      <c r="N391" s="40"/>
      <c r="O391" s="40"/>
    </row>
    <row r="392" spans="1:15">
      <c r="A392" s="28" t="s">
        <v>707</v>
      </c>
      <c r="B392" s="37">
        <v>0.014</v>
      </c>
      <c r="C392" s="37">
        <v>0.006</v>
      </c>
      <c r="D392" s="37">
        <v>0.556</v>
      </c>
      <c r="E392" s="37">
        <v>0.26</v>
      </c>
      <c r="F392">
        <v>0.0253</v>
      </c>
      <c r="G392">
        <v>2.876</v>
      </c>
      <c r="I392" s="38"/>
      <c r="J392" s="39"/>
      <c r="K392" s="39"/>
      <c r="L392" s="39"/>
      <c r="M392" s="39"/>
      <c r="N392" s="40"/>
      <c r="O392" s="40"/>
    </row>
    <row r="393" spans="1:15">
      <c r="A393" s="28" t="s">
        <v>708</v>
      </c>
      <c r="B393" s="37">
        <v>0.014</v>
      </c>
      <c r="C393" s="37">
        <v>0.004</v>
      </c>
      <c r="D393" s="37">
        <v>0.516</v>
      </c>
      <c r="E393" s="37">
        <v>0.183</v>
      </c>
      <c r="F393">
        <v>0.0253</v>
      </c>
      <c r="G393">
        <v>2.8759</v>
      </c>
      <c r="I393" s="38"/>
      <c r="J393" s="39"/>
      <c r="K393" s="39"/>
      <c r="L393" s="39"/>
      <c r="M393" s="39"/>
      <c r="N393" s="40"/>
      <c r="O393" s="40"/>
    </row>
    <row r="394" spans="1:15">
      <c r="A394" s="28" t="s">
        <v>709</v>
      </c>
      <c r="B394" s="37">
        <v>0.014</v>
      </c>
      <c r="C394" s="37">
        <v>0.004</v>
      </c>
      <c r="D394" s="37">
        <v>0.543</v>
      </c>
      <c r="E394" s="37">
        <v>0.183</v>
      </c>
      <c r="F394">
        <v>0.0255</v>
      </c>
      <c r="G394">
        <v>2.8956</v>
      </c>
      <c r="I394" s="38"/>
      <c r="J394" s="39"/>
      <c r="K394" s="39"/>
      <c r="L394" s="39"/>
      <c r="M394" s="39"/>
      <c r="N394" s="40"/>
      <c r="O394" s="40"/>
    </row>
    <row r="395" spans="1:15">
      <c r="A395" s="28" t="s">
        <v>710</v>
      </c>
      <c r="B395" s="37">
        <v>0.016</v>
      </c>
      <c r="C395" s="37">
        <v>0.004</v>
      </c>
      <c r="D395" s="37">
        <v>0.613</v>
      </c>
      <c r="E395" s="37">
        <v>0.179</v>
      </c>
      <c r="F395">
        <v>0.0256</v>
      </c>
      <c r="G395">
        <v>2.9169</v>
      </c>
      <c r="I395" s="38"/>
      <c r="J395" s="39"/>
      <c r="K395" s="39"/>
      <c r="L395" s="39"/>
      <c r="M395" s="39"/>
      <c r="N395" s="40"/>
      <c r="O395" s="40"/>
    </row>
    <row r="396" spans="1:15">
      <c r="A396" s="28" t="s">
        <v>711</v>
      </c>
      <c r="B396" s="37">
        <v>0.017</v>
      </c>
      <c r="C396" s="37">
        <v>0.004</v>
      </c>
      <c r="D396" s="37">
        <v>0.617</v>
      </c>
      <c r="E396" s="37">
        <v>0.178</v>
      </c>
      <c r="F396">
        <v>0.0256</v>
      </c>
      <c r="G396">
        <v>2.9277</v>
      </c>
      <c r="I396" s="38"/>
      <c r="J396" s="39"/>
      <c r="K396" s="39"/>
      <c r="L396" s="39"/>
      <c r="M396" s="39"/>
      <c r="N396" s="40"/>
      <c r="O396" s="40"/>
    </row>
    <row r="397" spans="1:15">
      <c r="A397" s="28" t="s">
        <v>712</v>
      </c>
      <c r="B397" s="37">
        <v>0.016</v>
      </c>
      <c r="C397" s="37">
        <v>0.004</v>
      </c>
      <c r="D397" s="37">
        <v>0.578</v>
      </c>
      <c r="E397" s="37">
        <v>0.178</v>
      </c>
      <c r="F397">
        <v>0.0258</v>
      </c>
      <c r="G397">
        <v>2.9265</v>
      </c>
      <c r="I397" s="38"/>
      <c r="J397" s="39"/>
      <c r="K397" s="39"/>
      <c r="L397" s="39"/>
      <c r="M397" s="39"/>
      <c r="N397" s="40"/>
      <c r="O397" s="40"/>
    </row>
    <row r="398" spans="1:15">
      <c r="A398" s="28" t="s">
        <v>713</v>
      </c>
      <c r="B398" s="37">
        <v>0.017</v>
      </c>
      <c r="C398" s="37">
        <v>0.004</v>
      </c>
      <c r="D398" s="37">
        <v>0.612</v>
      </c>
      <c r="E398" s="37">
        <v>0.177</v>
      </c>
      <c r="F398">
        <v>0.026</v>
      </c>
      <c r="G398">
        <v>2.9391</v>
      </c>
      <c r="I398" s="38"/>
      <c r="J398" s="39"/>
      <c r="K398" s="39"/>
      <c r="L398" s="39"/>
      <c r="M398" s="39"/>
      <c r="N398" s="40"/>
      <c r="O398" s="40"/>
    </row>
    <row r="399" spans="1:15">
      <c r="A399" s="28" t="s">
        <v>714</v>
      </c>
      <c r="B399" s="37">
        <v>0.015</v>
      </c>
      <c r="C399" s="37">
        <v>0.004</v>
      </c>
      <c r="D399" s="37">
        <v>0.547</v>
      </c>
      <c r="E399" s="37">
        <v>0.175</v>
      </c>
      <c r="F399">
        <v>0.026</v>
      </c>
      <c r="G399">
        <v>2.9555</v>
      </c>
      <c r="I399" s="38"/>
      <c r="J399" s="39"/>
      <c r="K399" s="39"/>
      <c r="L399" s="39"/>
      <c r="M399" s="39"/>
      <c r="N399" s="40"/>
      <c r="O399" s="40"/>
    </row>
    <row r="400" spans="1:15">
      <c r="A400" s="28" t="s">
        <v>715</v>
      </c>
      <c r="B400" s="37">
        <v>0.016</v>
      </c>
      <c r="C400" s="37">
        <v>0.004</v>
      </c>
      <c r="D400" s="37">
        <v>0.568</v>
      </c>
      <c r="E400" s="37">
        <v>0.172</v>
      </c>
      <c r="F400">
        <v>0.026</v>
      </c>
      <c r="G400">
        <v>2.9582</v>
      </c>
      <c r="I400" s="38"/>
      <c r="J400" s="39"/>
      <c r="K400" s="39"/>
      <c r="L400" s="39"/>
      <c r="M400" s="39"/>
      <c r="N400" s="40"/>
      <c r="O400" s="40"/>
    </row>
    <row r="401" spans="1:15">
      <c r="A401" s="28" t="s">
        <v>716</v>
      </c>
      <c r="B401" s="37">
        <v>0.015</v>
      </c>
      <c r="C401" s="37">
        <v>0.004</v>
      </c>
      <c r="D401" s="37">
        <v>0.554</v>
      </c>
      <c r="E401" s="37">
        <v>0.172</v>
      </c>
      <c r="F401">
        <v>0.026</v>
      </c>
      <c r="G401">
        <v>2.9345</v>
      </c>
      <c r="I401" s="38"/>
      <c r="J401" s="39"/>
      <c r="K401" s="39"/>
      <c r="L401" s="39"/>
      <c r="M401" s="39"/>
      <c r="N401" s="40"/>
      <c r="O401" s="40"/>
    </row>
    <row r="402" spans="1:15">
      <c r="A402" s="28" t="s">
        <v>717</v>
      </c>
      <c r="B402" s="37">
        <v>0.015</v>
      </c>
      <c r="C402" s="37">
        <v>0.004</v>
      </c>
      <c r="D402" s="37">
        <v>0.548</v>
      </c>
      <c r="E402" s="37">
        <v>0.171</v>
      </c>
      <c r="F402">
        <v>0.0261</v>
      </c>
      <c r="G402">
        <v>2.9551</v>
      </c>
      <c r="I402" s="38"/>
      <c r="J402" s="39"/>
      <c r="K402" s="39"/>
      <c r="L402" s="39"/>
      <c r="M402" s="39"/>
      <c r="N402" s="40"/>
      <c r="O402" s="40"/>
    </row>
    <row r="403" spans="1:15">
      <c r="A403" s="28" t="s">
        <v>718</v>
      </c>
      <c r="B403" s="37">
        <v>0.016</v>
      </c>
      <c r="C403" s="37">
        <v>0.004</v>
      </c>
      <c r="D403" s="37">
        <v>0.558</v>
      </c>
      <c r="E403" s="37">
        <v>0.168</v>
      </c>
      <c r="F403">
        <v>0.0261</v>
      </c>
      <c r="G403">
        <v>2.939</v>
      </c>
      <c r="I403" s="38"/>
      <c r="J403" s="39"/>
      <c r="K403" s="39"/>
      <c r="L403" s="39"/>
      <c r="M403" s="39"/>
      <c r="N403" s="40"/>
      <c r="O403" s="40"/>
    </row>
    <row r="404" spans="1:15">
      <c r="A404" s="28" t="s">
        <v>719</v>
      </c>
      <c r="B404" s="37">
        <v>0.017</v>
      </c>
      <c r="C404" s="37">
        <v>0.004</v>
      </c>
      <c r="D404" s="37">
        <v>0.59</v>
      </c>
      <c r="E404" s="37">
        <v>0.167</v>
      </c>
      <c r="F404">
        <v>0.0262</v>
      </c>
      <c r="G404">
        <v>3.0078</v>
      </c>
      <c r="I404" s="38"/>
      <c r="J404" s="39"/>
      <c r="K404" s="39"/>
      <c r="L404" s="39"/>
      <c r="M404" s="39"/>
      <c r="N404" s="40"/>
      <c r="O404" s="40"/>
    </row>
    <row r="405" spans="1:15">
      <c r="A405" s="28" t="s">
        <v>720</v>
      </c>
      <c r="B405" s="37">
        <v>0.018</v>
      </c>
      <c r="C405" s="37">
        <v>0.004</v>
      </c>
      <c r="D405" s="37">
        <v>0.608</v>
      </c>
      <c r="E405" s="37">
        <v>0.166</v>
      </c>
      <c r="F405">
        <v>0.0263</v>
      </c>
      <c r="G405">
        <v>3.0696</v>
      </c>
      <c r="I405" s="38"/>
      <c r="J405" s="39"/>
      <c r="K405" s="39"/>
      <c r="L405" s="39"/>
      <c r="M405" s="39"/>
      <c r="N405" s="40"/>
      <c r="O405" s="40"/>
    </row>
    <row r="406" spans="1:15">
      <c r="A406" s="28" t="s">
        <v>721</v>
      </c>
      <c r="B406" s="37">
        <v>0.017</v>
      </c>
      <c r="C406" s="37">
        <v>0.004</v>
      </c>
      <c r="D406" s="37">
        <v>0.579</v>
      </c>
      <c r="E406" s="37">
        <v>0.165</v>
      </c>
      <c r="F406">
        <v>0.0263</v>
      </c>
      <c r="G406">
        <v>3.1555</v>
      </c>
      <c r="I406" s="38"/>
      <c r="J406" s="39"/>
      <c r="K406" s="39"/>
      <c r="L406" s="39"/>
      <c r="M406" s="39"/>
      <c r="N406" s="40"/>
      <c r="O406" s="40"/>
    </row>
    <row r="407" spans="1:15">
      <c r="A407" s="28" t="s">
        <v>722</v>
      </c>
      <c r="B407" s="37">
        <v>0.017</v>
      </c>
      <c r="C407" s="37">
        <v>0.004</v>
      </c>
      <c r="D407" s="37">
        <v>0.564</v>
      </c>
      <c r="E407" s="37">
        <v>0.162</v>
      </c>
      <c r="F407">
        <v>0.0263</v>
      </c>
      <c r="G407">
        <v>3.1954</v>
      </c>
      <c r="I407" s="38"/>
      <c r="J407" s="39"/>
      <c r="K407" s="39"/>
      <c r="L407" s="39"/>
      <c r="M407" s="39"/>
      <c r="N407" s="40"/>
      <c r="O407" s="40"/>
    </row>
    <row r="408" spans="1:15">
      <c r="A408" s="28" t="s">
        <v>723</v>
      </c>
      <c r="B408" s="37">
        <v>0.017</v>
      </c>
      <c r="C408" s="37">
        <v>0.004</v>
      </c>
      <c r="D408" s="37">
        <v>0.581</v>
      </c>
      <c r="E408" s="37">
        <v>0.162</v>
      </c>
      <c r="F408">
        <v>0.0266</v>
      </c>
      <c r="G408">
        <v>3.1892</v>
      </c>
      <c r="I408" s="38"/>
      <c r="J408" s="39"/>
      <c r="K408" s="39"/>
      <c r="L408" s="39"/>
      <c r="M408" s="39"/>
      <c r="N408" s="40"/>
      <c r="O408" s="40"/>
    </row>
    <row r="409" spans="1:15">
      <c r="A409" s="28" t="s">
        <v>724</v>
      </c>
      <c r="B409" s="37">
        <v>0.017</v>
      </c>
      <c r="C409" s="37">
        <v>0.004</v>
      </c>
      <c r="D409" s="37">
        <v>0.579</v>
      </c>
      <c r="E409" s="37">
        <v>0.159</v>
      </c>
      <c r="F409">
        <v>0.0267</v>
      </c>
      <c r="G409">
        <v>3.2107</v>
      </c>
      <c r="I409" s="38"/>
      <c r="J409" s="39"/>
      <c r="K409" s="39"/>
      <c r="L409" s="39"/>
      <c r="M409" s="39"/>
      <c r="N409" s="40"/>
      <c r="O409" s="40"/>
    </row>
    <row r="410" spans="1:15">
      <c r="A410" s="28" t="s">
        <v>725</v>
      </c>
      <c r="B410" s="37">
        <v>0.018</v>
      </c>
      <c r="C410" s="37">
        <v>0.004</v>
      </c>
      <c r="D410" s="37">
        <v>0.591</v>
      </c>
      <c r="E410" s="37">
        <v>0.158</v>
      </c>
      <c r="F410">
        <v>0.0269</v>
      </c>
      <c r="G410">
        <v>3.2415</v>
      </c>
      <c r="I410" s="38"/>
      <c r="J410" s="39"/>
      <c r="K410" s="39"/>
      <c r="L410" s="39"/>
      <c r="M410" s="39"/>
      <c r="N410" s="40"/>
      <c r="O410" s="40"/>
    </row>
    <row r="411" spans="1:15">
      <c r="A411" s="28" t="s">
        <v>726</v>
      </c>
      <c r="B411" s="37">
        <v>0.018</v>
      </c>
      <c r="C411" s="37">
        <v>0.004</v>
      </c>
      <c r="D411" s="37">
        <v>0.594</v>
      </c>
      <c r="E411" s="37">
        <v>0.157</v>
      </c>
      <c r="F411">
        <v>0.0269</v>
      </c>
      <c r="G411">
        <v>3.2994</v>
      </c>
      <c r="I411" s="38"/>
      <c r="J411" s="39"/>
      <c r="K411" s="39"/>
      <c r="L411" s="39"/>
      <c r="M411" s="39"/>
      <c r="N411" s="40"/>
      <c r="O411" s="40"/>
    </row>
    <row r="412" spans="1:15">
      <c r="A412" s="28" t="s">
        <v>727</v>
      </c>
      <c r="B412" s="37">
        <v>0.018</v>
      </c>
      <c r="C412" s="37">
        <v>0.008</v>
      </c>
      <c r="D412" s="37">
        <v>0.581</v>
      </c>
      <c r="E412" s="37">
        <v>0.275</v>
      </c>
      <c r="F412">
        <v>0.0268</v>
      </c>
      <c r="G412">
        <v>3.3095</v>
      </c>
      <c r="I412" s="38"/>
      <c r="J412" s="39"/>
      <c r="K412" s="39"/>
      <c r="L412" s="39"/>
      <c r="M412" s="39"/>
      <c r="N412" s="40"/>
      <c r="O412" s="40"/>
    </row>
    <row r="413" spans="1:15">
      <c r="A413" s="28" t="s">
        <v>728</v>
      </c>
      <c r="B413" s="37">
        <v>0.018</v>
      </c>
      <c r="C413" s="37">
        <v>0.008</v>
      </c>
      <c r="D413" s="37">
        <v>0.578</v>
      </c>
      <c r="E413" s="37">
        <v>0.274</v>
      </c>
      <c r="F413">
        <v>0.027</v>
      </c>
      <c r="G413">
        <v>3.3222</v>
      </c>
      <c r="I413" s="38"/>
      <c r="J413" s="39"/>
      <c r="K413" s="39"/>
      <c r="L413" s="39"/>
      <c r="M413" s="39"/>
      <c r="N413" s="40"/>
      <c r="O413" s="40"/>
    </row>
    <row r="414" spans="1:15">
      <c r="A414" s="28" t="s">
        <v>729</v>
      </c>
      <c r="B414" s="37">
        <v>0.017</v>
      </c>
      <c r="C414" s="37">
        <v>0.004</v>
      </c>
      <c r="D414" s="37">
        <v>0.559</v>
      </c>
      <c r="E414" s="37">
        <v>0.155</v>
      </c>
      <c r="F414">
        <v>0.027</v>
      </c>
      <c r="G414">
        <v>3.3808</v>
      </c>
      <c r="I414" s="38"/>
      <c r="J414" s="39"/>
      <c r="K414" s="39"/>
      <c r="L414" s="39"/>
      <c r="M414" s="39"/>
      <c r="N414" s="40"/>
      <c r="O414" s="40"/>
    </row>
    <row r="415" spans="1:15">
      <c r="A415" s="28" t="s">
        <v>730</v>
      </c>
      <c r="B415" s="37">
        <v>0.017</v>
      </c>
      <c r="C415" s="37">
        <v>0.004</v>
      </c>
      <c r="D415" s="37">
        <v>0.564</v>
      </c>
      <c r="E415" s="37">
        <v>0.154</v>
      </c>
      <c r="F415">
        <v>0.0268</v>
      </c>
      <c r="G415">
        <v>3.4033</v>
      </c>
      <c r="I415" s="38"/>
      <c r="J415" s="39"/>
      <c r="K415" s="39"/>
      <c r="L415" s="39"/>
      <c r="M415" s="39"/>
      <c r="N415" s="40"/>
      <c r="O415" s="40"/>
    </row>
    <row r="416" spans="1:15">
      <c r="A416" s="28" t="s">
        <v>731</v>
      </c>
      <c r="B416" s="37">
        <v>0.017</v>
      </c>
      <c r="C416" s="37">
        <v>0.004</v>
      </c>
      <c r="D416" s="37">
        <v>0.542</v>
      </c>
      <c r="E416" s="37">
        <v>0.153</v>
      </c>
      <c r="F416">
        <v>0.0269</v>
      </c>
      <c r="G416">
        <v>3.413</v>
      </c>
      <c r="I416" s="38"/>
      <c r="J416" s="39"/>
      <c r="K416" s="39"/>
      <c r="L416" s="39"/>
      <c r="M416" s="39"/>
      <c r="N416" s="40"/>
      <c r="O416" s="40"/>
    </row>
    <row r="417" spans="1:15">
      <c r="A417" s="28" t="s">
        <v>732</v>
      </c>
      <c r="B417" s="37">
        <v>0.017</v>
      </c>
      <c r="C417" s="37">
        <v>0.007</v>
      </c>
      <c r="D417" s="37">
        <v>0.534</v>
      </c>
      <c r="E417" s="37">
        <v>0.232</v>
      </c>
      <c r="F417">
        <v>0.0272</v>
      </c>
      <c r="G417">
        <v>3.3948</v>
      </c>
      <c r="I417" s="38"/>
      <c r="J417" s="39"/>
      <c r="K417" s="39"/>
      <c r="L417" s="39"/>
      <c r="M417" s="39"/>
      <c r="N417" s="40"/>
      <c r="O417" s="40"/>
    </row>
    <row r="418" spans="1:15">
      <c r="A418" s="28" t="s">
        <v>733</v>
      </c>
      <c r="B418" s="37">
        <v>0.017</v>
      </c>
      <c r="C418" s="37">
        <v>0.027</v>
      </c>
      <c r="D418" s="37">
        <v>0.547</v>
      </c>
      <c r="E418" s="37">
        <v>0.905</v>
      </c>
      <c r="F418">
        <v>0.0273</v>
      </c>
      <c r="G418">
        <v>3.4827</v>
      </c>
      <c r="I418" s="38"/>
      <c r="J418" s="39"/>
      <c r="K418" s="39"/>
      <c r="L418" s="39"/>
      <c r="M418" s="39"/>
      <c r="N418" s="40"/>
      <c r="O418" s="40"/>
    </row>
    <row r="419" spans="1:15">
      <c r="A419" s="28" t="s">
        <v>734</v>
      </c>
      <c r="B419" s="37">
        <v>0.018</v>
      </c>
      <c r="C419" s="37">
        <v>0.025</v>
      </c>
      <c r="D419" s="37">
        <v>0.558</v>
      </c>
      <c r="E419" s="37">
        <v>0.818</v>
      </c>
      <c r="F419">
        <v>0.0272</v>
      </c>
      <c r="G419">
        <v>3.4895</v>
      </c>
      <c r="I419" s="38"/>
      <c r="J419" s="39"/>
      <c r="K419" s="39"/>
      <c r="L419" s="39"/>
      <c r="M419" s="39"/>
      <c r="N419" s="40"/>
      <c r="O419" s="40"/>
    </row>
    <row r="420" spans="1:15">
      <c r="A420" s="28" t="s">
        <v>735</v>
      </c>
      <c r="B420" s="37">
        <v>0.018</v>
      </c>
      <c r="C420" s="37">
        <v>0.021</v>
      </c>
      <c r="D420" s="37">
        <v>0.559</v>
      </c>
      <c r="E420" s="37">
        <v>0.698</v>
      </c>
      <c r="F420">
        <v>0.0271</v>
      </c>
      <c r="G420">
        <v>3.5311</v>
      </c>
      <c r="I420" s="38"/>
      <c r="J420" s="39"/>
      <c r="K420" s="39"/>
      <c r="L420" s="39"/>
      <c r="M420" s="39"/>
      <c r="N420" s="40"/>
      <c r="O420" s="40"/>
    </row>
    <row r="421" spans="1:15">
      <c r="A421" s="28" t="s">
        <v>736</v>
      </c>
      <c r="B421" s="37">
        <v>0.019</v>
      </c>
      <c r="C421" s="37">
        <v>0.021</v>
      </c>
      <c r="D421" s="37">
        <v>0.58</v>
      </c>
      <c r="E421" s="37">
        <v>0.707</v>
      </c>
      <c r="F421">
        <v>0.0271</v>
      </c>
      <c r="G421">
        <v>3.5345</v>
      </c>
      <c r="I421" s="38"/>
      <c r="J421" s="39"/>
      <c r="K421" s="39"/>
      <c r="L421" s="39"/>
      <c r="M421" s="39"/>
      <c r="N421" s="40"/>
      <c r="O421" s="40"/>
    </row>
    <row r="422" spans="1:15">
      <c r="A422" s="28" t="s">
        <v>737</v>
      </c>
      <c r="B422" s="37">
        <v>0.019</v>
      </c>
      <c r="C422" s="37">
        <v>0.021</v>
      </c>
      <c r="D422" s="37">
        <v>0.596</v>
      </c>
      <c r="E422" s="37">
        <v>0.7</v>
      </c>
      <c r="F422">
        <v>0.027</v>
      </c>
      <c r="G422">
        <v>3.5723</v>
      </c>
      <c r="I422" s="38"/>
      <c r="J422" s="39"/>
      <c r="K422" s="39"/>
      <c r="L422" s="39"/>
      <c r="M422" s="39"/>
      <c r="N422" s="40"/>
      <c r="O422" s="40"/>
    </row>
    <row r="423" spans="1:15">
      <c r="A423" s="28" t="s">
        <v>738</v>
      </c>
      <c r="B423" s="37">
        <v>0.02</v>
      </c>
      <c r="C423" s="37">
        <v>0.027</v>
      </c>
      <c r="D423" s="37">
        <v>0.621</v>
      </c>
      <c r="E423" s="37">
        <v>0.909</v>
      </c>
      <c r="F423">
        <v>0.0269</v>
      </c>
      <c r="G423">
        <v>3.6362</v>
      </c>
      <c r="I423" s="38"/>
      <c r="J423" s="39"/>
      <c r="K423" s="39"/>
      <c r="L423" s="39"/>
      <c r="M423" s="39"/>
      <c r="N423" s="40"/>
      <c r="O423" s="40"/>
    </row>
    <row r="424" spans="1:15">
      <c r="A424" s="28" t="s">
        <v>739</v>
      </c>
      <c r="B424" s="37">
        <v>0.021</v>
      </c>
      <c r="C424" s="37">
        <v>0.026</v>
      </c>
      <c r="D424" s="37">
        <v>0.645</v>
      </c>
      <c r="E424" s="37">
        <v>0.864</v>
      </c>
      <c r="F424">
        <v>0.0271</v>
      </c>
      <c r="G424">
        <v>3.6697</v>
      </c>
      <c r="I424" s="38"/>
      <c r="J424" s="39"/>
      <c r="K424" s="39"/>
      <c r="L424" s="39"/>
      <c r="M424" s="39"/>
      <c r="N424" s="40"/>
      <c r="O424" s="40"/>
    </row>
    <row r="425" spans="1:15">
      <c r="A425" s="28" t="s">
        <v>740</v>
      </c>
      <c r="B425" s="37">
        <v>0.02</v>
      </c>
      <c r="C425" s="37">
        <v>0.026</v>
      </c>
      <c r="D425" s="37">
        <v>0.606</v>
      </c>
      <c r="E425" s="37">
        <v>0.857</v>
      </c>
      <c r="F425">
        <v>0.027</v>
      </c>
      <c r="G425">
        <v>3.7252</v>
      </c>
      <c r="I425" s="38"/>
      <c r="J425" s="39"/>
      <c r="K425" s="39"/>
      <c r="L425" s="39"/>
      <c r="M425" s="39"/>
      <c r="N425" s="40"/>
      <c r="O425" s="40"/>
    </row>
    <row r="426" spans="1:15">
      <c r="A426" s="28" t="s">
        <v>741</v>
      </c>
      <c r="B426" s="37">
        <v>0.021</v>
      </c>
      <c r="C426" s="37">
        <v>0.026</v>
      </c>
      <c r="D426" s="37">
        <v>0.63</v>
      </c>
      <c r="E426" s="37">
        <v>0.841</v>
      </c>
      <c r="F426">
        <v>0.0272</v>
      </c>
      <c r="G426">
        <v>3.7166</v>
      </c>
      <c r="I426" s="38"/>
      <c r="J426" s="39"/>
      <c r="K426" s="39"/>
      <c r="L426" s="39"/>
      <c r="M426" s="39"/>
      <c r="N426" s="40"/>
      <c r="O426" s="40"/>
    </row>
    <row r="427" spans="1:15">
      <c r="A427" s="28" t="s">
        <v>742</v>
      </c>
      <c r="B427" s="37">
        <v>0.021</v>
      </c>
      <c r="C427" s="37">
        <v>0.031</v>
      </c>
      <c r="D427" s="37">
        <v>0.633</v>
      </c>
      <c r="E427" s="37">
        <v>0.974</v>
      </c>
      <c r="F427">
        <v>0.0272</v>
      </c>
      <c r="G427">
        <v>3.7088</v>
      </c>
      <c r="I427" s="38"/>
      <c r="J427" s="39"/>
      <c r="K427" s="39"/>
      <c r="L427" s="39"/>
      <c r="M427" s="39"/>
      <c r="N427" s="40"/>
      <c r="O427" s="40"/>
    </row>
    <row r="428" spans="1:15">
      <c r="A428" s="28" t="s">
        <v>743</v>
      </c>
      <c r="B428" s="37">
        <v>0.021</v>
      </c>
      <c r="C428" s="37">
        <v>0.031</v>
      </c>
      <c r="D428" s="37">
        <v>0.615</v>
      </c>
      <c r="E428" s="37">
        <v>0.961</v>
      </c>
      <c r="F428">
        <v>0.0273</v>
      </c>
      <c r="G428">
        <v>3.7378</v>
      </c>
      <c r="I428" s="38"/>
      <c r="J428" s="39"/>
      <c r="K428" s="39"/>
      <c r="L428" s="39"/>
      <c r="M428" s="39"/>
      <c r="N428" s="40"/>
      <c r="O428" s="40"/>
    </row>
    <row r="429" spans="1:15">
      <c r="A429" s="28" t="s">
        <v>744</v>
      </c>
      <c r="B429" s="37">
        <v>0.02</v>
      </c>
      <c r="C429" s="37">
        <v>0.031</v>
      </c>
      <c r="D429" s="37">
        <v>0.587</v>
      </c>
      <c r="E429" s="37">
        <v>0.957</v>
      </c>
      <c r="F429">
        <v>0.0275</v>
      </c>
      <c r="G429">
        <v>3.7762</v>
      </c>
      <c r="I429" s="38"/>
      <c r="J429" s="39"/>
      <c r="K429" s="39"/>
      <c r="L429" s="39"/>
      <c r="M429" s="39"/>
      <c r="N429" s="40"/>
      <c r="O429" s="40"/>
    </row>
    <row r="430" spans="1:15">
      <c r="A430" s="28" t="s">
        <v>745</v>
      </c>
      <c r="B430" s="37">
        <v>0.021</v>
      </c>
      <c r="C430" s="37">
        <v>0.031</v>
      </c>
      <c r="D430" s="37">
        <v>0.612</v>
      </c>
      <c r="E430" s="37">
        <v>0.957</v>
      </c>
      <c r="F430">
        <v>0.0276</v>
      </c>
      <c r="G430">
        <v>3.7999</v>
      </c>
      <c r="I430" s="38"/>
      <c r="J430" s="39"/>
      <c r="K430" s="39"/>
      <c r="L430" s="39"/>
      <c r="M430" s="39"/>
      <c r="N430" s="40"/>
      <c r="O430" s="40"/>
    </row>
    <row r="431" spans="1:15">
      <c r="A431" s="28" t="s">
        <v>746</v>
      </c>
      <c r="B431" s="37">
        <v>0.021</v>
      </c>
      <c r="C431" s="37">
        <v>0.029</v>
      </c>
      <c r="D431" s="37">
        <v>0.606</v>
      </c>
      <c r="E431" s="37">
        <v>0.89</v>
      </c>
      <c r="F431">
        <v>0.0276</v>
      </c>
      <c r="G431">
        <v>3.7957</v>
      </c>
      <c r="I431" s="38"/>
      <c r="J431" s="39"/>
      <c r="K431" s="39"/>
      <c r="L431" s="39"/>
      <c r="M431" s="39"/>
      <c r="N431" s="40"/>
      <c r="O431" s="40"/>
    </row>
    <row r="432" spans="1:15">
      <c r="A432" s="28" t="s">
        <v>747</v>
      </c>
      <c r="B432" s="37">
        <v>0.019</v>
      </c>
      <c r="C432" s="37">
        <v>0.029</v>
      </c>
      <c r="D432" s="37">
        <v>0.566</v>
      </c>
      <c r="E432" s="37">
        <v>0.889</v>
      </c>
      <c r="F432">
        <v>0.0277</v>
      </c>
      <c r="G432">
        <v>3.8154</v>
      </c>
      <c r="I432" s="38"/>
      <c r="J432" s="39"/>
      <c r="K432" s="39"/>
      <c r="L432" s="39"/>
      <c r="M432" s="39"/>
      <c r="N432" s="40"/>
      <c r="O432" s="40"/>
    </row>
    <row r="433" spans="1:15">
      <c r="A433" s="28" t="s">
        <v>748</v>
      </c>
      <c r="B433" s="37">
        <v>0.019</v>
      </c>
      <c r="C433" s="37">
        <v>0.027</v>
      </c>
      <c r="D433" s="37">
        <v>0.558</v>
      </c>
      <c r="E433" s="37">
        <v>0.816</v>
      </c>
      <c r="F433">
        <v>0.0279</v>
      </c>
      <c r="G433">
        <v>3.854</v>
      </c>
      <c r="I433" s="38"/>
      <c r="J433" s="39"/>
      <c r="K433" s="39"/>
      <c r="L433" s="39"/>
      <c r="M433" s="39"/>
      <c r="N433" s="40"/>
      <c r="O433" s="40"/>
    </row>
    <row r="434" spans="1:15">
      <c r="A434" s="28" t="s">
        <v>749</v>
      </c>
      <c r="B434" s="37">
        <v>0.02</v>
      </c>
      <c r="C434" s="37">
        <v>0.024</v>
      </c>
      <c r="D434" s="37">
        <v>0.573</v>
      </c>
      <c r="E434" s="37">
        <v>0.739</v>
      </c>
      <c r="F434">
        <v>0.028</v>
      </c>
      <c r="G434">
        <v>3.8904</v>
      </c>
      <c r="I434" s="38"/>
      <c r="J434" s="39"/>
      <c r="K434" s="39"/>
      <c r="L434" s="39"/>
      <c r="M434" s="39"/>
      <c r="N434" s="40"/>
      <c r="O434" s="40"/>
    </row>
    <row r="435" spans="1:15">
      <c r="A435" s="28" t="s">
        <v>750</v>
      </c>
      <c r="B435" s="37">
        <v>0.02</v>
      </c>
      <c r="C435" s="37">
        <v>0.024</v>
      </c>
      <c r="D435" s="37">
        <v>0.579</v>
      </c>
      <c r="E435" s="37">
        <v>0.732</v>
      </c>
      <c r="F435">
        <v>0.0281</v>
      </c>
      <c r="G435">
        <v>3.9052</v>
      </c>
      <c r="I435" s="38"/>
      <c r="J435" s="39"/>
      <c r="K435" s="39"/>
      <c r="L435" s="39"/>
      <c r="M435" s="39"/>
      <c r="N435" s="40"/>
      <c r="O435" s="40"/>
    </row>
    <row r="436" spans="1:15">
      <c r="A436" s="28" t="s">
        <v>751</v>
      </c>
      <c r="B436" s="37">
        <v>0.021</v>
      </c>
      <c r="C436" s="37">
        <v>0.024</v>
      </c>
      <c r="D436" s="37">
        <v>0.594</v>
      </c>
      <c r="E436" s="37">
        <v>0.724</v>
      </c>
      <c r="F436">
        <v>0.0281</v>
      </c>
      <c r="G436">
        <v>3.9318</v>
      </c>
      <c r="I436" s="38"/>
      <c r="J436" s="39"/>
      <c r="K436" s="39"/>
      <c r="L436" s="39"/>
      <c r="M436" s="39"/>
      <c r="N436" s="40"/>
      <c r="O436" s="40"/>
    </row>
    <row r="437" spans="1:15">
      <c r="A437" s="28" t="s">
        <v>752</v>
      </c>
      <c r="B437" s="37">
        <v>0.021</v>
      </c>
      <c r="C437" s="37">
        <v>0.024</v>
      </c>
      <c r="D437" s="37">
        <v>0.593</v>
      </c>
      <c r="E437" s="37">
        <v>0.714</v>
      </c>
      <c r="F437">
        <v>0.0284</v>
      </c>
      <c r="G437">
        <v>3.9197</v>
      </c>
      <c r="I437" s="38"/>
      <c r="J437" s="39"/>
      <c r="K437" s="39"/>
      <c r="L437" s="39"/>
      <c r="M437" s="39"/>
      <c r="N437" s="40"/>
      <c r="O437" s="40"/>
    </row>
    <row r="438" spans="1:15">
      <c r="A438" s="28" t="s">
        <v>753</v>
      </c>
      <c r="B438" s="37">
        <v>0.021</v>
      </c>
      <c r="C438" s="37">
        <v>0.024</v>
      </c>
      <c r="D438" s="37">
        <v>0.597</v>
      </c>
      <c r="E438" s="37">
        <v>0.715</v>
      </c>
      <c r="F438">
        <v>0.0285</v>
      </c>
      <c r="G438">
        <v>4.015</v>
      </c>
      <c r="I438" s="38"/>
      <c r="J438" s="39"/>
      <c r="K438" s="39"/>
      <c r="L438" s="39"/>
      <c r="M438" s="39"/>
      <c r="N438" s="40"/>
      <c r="O438" s="40"/>
    </row>
    <row r="439" spans="1:15">
      <c r="A439" s="28" t="s">
        <v>754</v>
      </c>
      <c r="B439" s="37">
        <v>0.022</v>
      </c>
      <c r="C439" s="37">
        <v>0.024</v>
      </c>
      <c r="D439" s="37">
        <v>0.608</v>
      </c>
      <c r="E439" s="37">
        <v>0.712</v>
      </c>
      <c r="F439">
        <v>0.0287</v>
      </c>
      <c r="G439">
        <v>4.0523</v>
      </c>
      <c r="I439" s="38"/>
      <c r="J439" s="39"/>
      <c r="K439" s="39"/>
      <c r="L439" s="39"/>
      <c r="M439" s="39"/>
      <c r="N439" s="40"/>
      <c r="O439" s="40"/>
    </row>
    <row r="440" spans="1:15">
      <c r="A440" s="28" t="s">
        <v>755</v>
      </c>
      <c r="B440" s="37">
        <v>0.021</v>
      </c>
      <c r="C440" s="37">
        <v>0.027</v>
      </c>
      <c r="D440" s="37">
        <v>0.587</v>
      </c>
      <c r="E440" s="37">
        <v>0.784</v>
      </c>
      <c r="F440">
        <v>0.0288</v>
      </c>
      <c r="G440">
        <v>4.0803</v>
      </c>
      <c r="I440" s="38"/>
      <c r="J440" s="39"/>
      <c r="K440" s="39"/>
      <c r="L440" s="39"/>
      <c r="M440" s="39"/>
      <c r="N440" s="40"/>
      <c r="O440" s="40"/>
    </row>
    <row r="441" spans="1:15">
      <c r="A441" s="28" t="s">
        <v>756</v>
      </c>
      <c r="B441" s="37">
        <v>0.019</v>
      </c>
      <c r="C441" s="37">
        <v>0.027</v>
      </c>
      <c r="D441" s="37">
        <v>0.519</v>
      </c>
      <c r="E441" s="37">
        <v>0.776</v>
      </c>
      <c r="F441">
        <v>0.0288</v>
      </c>
      <c r="G441">
        <v>4.0996</v>
      </c>
      <c r="I441" s="38"/>
      <c r="J441" s="39"/>
      <c r="K441" s="39"/>
      <c r="L441" s="39"/>
      <c r="M441" s="39"/>
      <c r="N441" s="40"/>
      <c r="O441" s="40"/>
    </row>
    <row r="442" spans="1:15">
      <c r="A442" s="28" t="s">
        <v>757</v>
      </c>
      <c r="B442" s="37">
        <v>0.018</v>
      </c>
      <c r="C442" s="37">
        <v>0.027</v>
      </c>
      <c r="D442" s="37">
        <v>0.513</v>
      </c>
      <c r="E442" s="37">
        <v>0.764</v>
      </c>
      <c r="F442">
        <v>0.0289</v>
      </c>
      <c r="G442">
        <v>4.1037</v>
      </c>
      <c r="I442" s="38"/>
      <c r="J442" s="39"/>
      <c r="K442" s="39"/>
      <c r="L442" s="39"/>
      <c r="M442" s="39"/>
      <c r="N442" s="40"/>
      <c r="O442" s="40"/>
    </row>
    <row r="443" spans="1:15">
      <c r="A443" s="28" t="s">
        <v>758</v>
      </c>
      <c r="B443" s="37">
        <v>0.019</v>
      </c>
      <c r="C443" s="37">
        <v>0.024</v>
      </c>
      <c r="D443" s="37">
        <v>0.532</v>
      </c>
      <c r="E443" s="37">
        <v>0.683</v>
      </c>
      <c r="F443">
        <v>0.029</v>
      </c>
      <c r="G443">
        <v>4.105</v>
      </c>
      <c r="I443" s="38"/>
      <c r="J443" s="39"/>
      <c r="K443" s="39"/>
      <c r="L443" s="39"/>
      <c r="M443" s="39"/>
      <c r="N443" s="40"/>
      <c r="O443" s="40"/>
    </row>
    <row r="444" spans="1:15">
      <c r="A444" s="28" t="s">
        <v>759</v>
      </c>
      <c r="B444" s="37">
        <v>0.019</v>
      </c>
      <c r="C444" s="37">
        <v>0.025</v>
      </c>
      <c r="D444" s="37">
        <v>0.511</v>
      </c>
      <c r="E444" s="37">
        <v>0.685</v>
      </c>
      <c r="F444">
        <v>0.029</v>
      </c>
      <c r="G444">
        <v>4.2018</v>
      </c>
      <c r="I444" s="38"/>
      <c r="J444" s="39"/>
      <c r="K444" s="39"/>
      <c r="L444" s="39"/>
      <c r="M444" s="39"/>
      <c r="N444" s="40"/>
      <c r="O444" s="40"/>
    </row>
    <row r="445" spans="1:15">
      <c r="A445" s="28" t="s">
        <v>760</v>
      </c>
      <c r="B445" s="37">
        <v>0.019</v>
      </c>
      <c r="C445" s="37">
        <v>0.029</v>
      </c>
      <c r="D445" s="37">
        <v>0.515</v>
      </c>
      <c r="E445" s="37">
        <v>0.81</v>
      </c>
      <c r="F445">
        <v>0.0292</v>
      </c>
      <c r="G445">
        <v>4.2082</v>
      </c>
      <c r="I445" s="38"/>
      <c r="J445" s="39"/>
      <c r="K445" s="39"/>
      <c r="L445" s="39"/>
      <c r="M445" s="39"/>
      <c r="N445" s="40"/>
      <c r="O445" s="40"/>
    </row>
    <row r="446" spans="1:15">
      <c r="A446" s="28" t="s">
        <v>761</v>
      </c>
      <c r="B446" s="37">
        <v>0.019</v>
      </c>
      <c r="C446" s="37">
        <v>0.027</v>
      </c>
      <c r="D446" s="37">
        <v>0.53</v>
      </c>
      <c r="E446" s="37">
        <v>0.771</v>
      </c>
      <c r="F446">
        <v>0.0291</v>
      </c>
      <c r="G446">
        <v>4.2519</v>
      </c>
      <c r="I446" s="38"/>
      <c r="J446" s="39"/>
      <c r="K446" s="39"/>
      <c r="L446" s="39"/>
      <c r="M446" s="39"/>
      <c r="N446" s="40"/>
      <c r="O446" s="40"/>
    </row>
    <row r="447" spans="1:15">
      <c r="A447" s="28" t="s">
        <v>762</v>
      </c>
      <c r="B447" s="37">
        <v>0.018</v>
      </c>
      <c r="C447" s="37">
        <v>0.032</v>
      </c>
      <c r="D447" s="37">
        <v>0.497</v>
      </c>
      <c r="E447" s="37">
        <v>0.894</v>
      </c>
      <c r="F447">
        <v>0.0292</v>
      </c>
      <c r="G447">
        <v>4.3141</v>
      </c>
      <c r="I447" s="38"/>
      <c r="J447" s="39"/>
      <c r="K447" s="39"/>
      <c r="L447" s="39"/>
      <c r="M447" s="39"/>
      <c r="N447" s="40"/>
      <c r="O447" s="40"/>
    </row>
    <row r="448" spans="1:15">
      <c r="A448" s="28" t="s">
        <v>763</v>
      </c>
      <c r="B448" s="37">
        <v>0.019</v>
      </c>
      <c r="C448" s="37">
        <v>0.032</v>
      </c>
      <c r="D448" s="37">
        <v>0.504</v>
      </c>
      <c r="E448" s="37">
        <v>0.879</v>
      </c>
      <c r="F448">
        <v>0.0292</v>
      </c>
      <c r="G448">
        <v>4.3349</v>
      </c>
      <c r="I448" s="38"/>
      <c r="J448" s="39"/>
      <c r="K448" s="39"/>
      <c r="L448" s="39"/>
      <c r="M448" s="39"/>
      <c r="N448" s="40"/>
      <c r="O448" s="40"/>
    </row>
    <row r="449" spans="1:15">
      <c r="A449" s="28" t="s">
        <v>764</v>
      </c>
      <c r="B449" s="37">
        <v>0.02</v>
      </c>
      <c r="C449" s="37">
        <v>0.023</v>
      </c>
      <c r="D449" s="37">
        <v>0.531</v>
      </c>
      <c r="E449" s="37">
        <v>0.635</v>
      </c>
      <c r="F449">
        <v>0.0294</v>
      </c>
      <c r="G449">
        <v>4.3301</v>
      </c>
      <c r="I449" s="38"/>
      <c r="J449" s="39"/>
      <c r="K449" s="39"/>
      <c r="L449" s="39"/>
      <c r="M449" s="39"/>
      <c r="N449" s="40"/>
      <c r="O449" s="40"/>
    </row>
    <row r="450" spans="1:15">
      <c r="A450" s="28" t="s">
        <v>765</v>
      </c>
      <c r="B450" s="37">
        <v>0.02</v>
      </c>
      <c r="C450" s="37">
        <v>0.033</v>
      </c>
      <c r="D450" s="37">
        <v>0.536</v>
      </c>
      <c r="E450" s="37">
        <v>0.904</v>
      </c>
      <c r="F450">
        <v>0.0295</v>
      </c>
      <c r="G450">
        <v>4.3763</v>
      </c>
      <c r="I450" s="38"/>
      <c r="J450" s="39"/>
      <c r="K450" s="39"/>
      <c r="L450" s="39"/>
      <c r="M450" s="39"/>
      <c r="N450" s="40"/>
      <c r="O450" s="40"/>
    </row>
    <row r="451" spans="1:15">
      <c r="A451" s="28" t="s">
        <v>766</v>
      </c>
      <c r="B451" s="37">
        <v>0.019</v>
      </c>
      <c r="C451" s="37">
        <v>0.033</v>
      </c>
      <c r="D451" s="37">
        <v>0.495</v>
      </c>
      <c r="E451" s="37">
        <v>0.899</v>
      </c>
      <c r="F451">
        <v>0.03</v>
      </c>
      <c r="G451">
        <v>4.3976</v>
      </c>
      <c r="I451" s="38"/>
      <c r="J451" s="39"/>
      <c r="K451" s="39"/>
      <c r="L451" s="39"/>
      <c r="M451" s="39"/>
      <c r="N451" s="40"/>
      <c r="O451" s="40"/>
    </row>
    <row r="452" spans="1:15">
      <c r="A452" s="28" t="s">
        <v>767</v>
      </c>
      <c r="B452" s="37">
        <v>0.019</v>
      </c>
      <c r="C452" s="37">
        <v>0.033</v>
      </c>
      <c r="D452" s="37">
        <v>0.497</v>
      </c>
      <c r="E452" s="37">
        <v>0.903</v>
      </c>
      <c r="F452">
        <v>0.0301</v>
      </c>
      <c r="G452">
        <v>4.3865</v>
      </c>
      <c r="I452" s="38"/>
      <c r="J452" s="39"/>
      <c r="K452" s="39"/>
      <c r="L452" s="39"/>
      <c r="M452" s="39"/>
      <c r="N452" s="40"/>
      <c r="O452" s="40"/>
    </row>
    <row r="453" spans="1:15">
      <c r="A453" s="28" t="s">
        <v>768</v>
      </c>
      <c r="B453" s="37">
        <v>0.019</v>
      </c>
      <c r="C453" s="37">
        <v>0.031</v>
      </c>
      <c r="D453" s="37">
        <v>0.491</v>
      </c>
      <c r="E453" s="37">
        <v>0.821</v>
      </c>
      <c r="F453">
        <v>0.0302</v>
      </c>
      <c r="G453">
        <v>4.4183</v>
      </c>
      <c r="I453" s="38"/>
      <c r="J453" s="39"/>
      <c r="K453" s="39"/>
      <c r="L453" s="39"/>
      <c r="M453" s="39"/>
      <c r="N453" s="40"/>
      <c r="O453" s="40"/>
    </row>
    <row r="454" spans="1:15">
      <c r="A454" s="28" t="s">
        <v>769</v>
      </c>
      <c r="B454" s="37">
        <v>0.02</v>
      </c>
      <c r="C454" s="37">
        <v>0.027</v>
      </c>
      <c r="D454" s="37">
        <v>0.538</v>
      </c>
      <c r="E454" s="37">
        <v>0.715</v>
      </c>
      <c r="F454">
        <v>0.0301</v>
      </c>
      <c r="G454">
        <v>4.4354</v>
      </c>
      <c r="I454" s="38"/>
      <c r="J454" s="39"/>
      <c r="K454" s="39"/>
      <c r="L454" s="39"/>
      <c r="M454" s="39"/>
      <c r="N454" s="40"/>
      <c r="O454" s="40"/>
    </row>
    <row r="455" spans="1:15">
      <c r="A455" s="28" t="s">
        <v>770</v>
      </c>
      <c r="B455" s="37">
        <v>0.018</v>
      </c>
      <c r="C455" s="37">
        <v>0.027</v>
      </c>
      <c r="D455" s="37">
        <v>0.485</v>
      </c>
      <c r="E455" s="37">
        <v>0.717</v>
      </c>
      <c r="F455">
        <v>0.0301</v>
      </c>
      <c r="G455">
        <v>4.5321</v>
      </c>
      <c r="I455" s="38"/>
      <c r="J455" s="39"/>
      <c r="K455" s="39"/>
      <c r="L455" s="39"/>
      <c r="M455" s="39"/>
      <c r="N455" s="40"/>
      <c r="O455" s="40"/>
    </row>
    <row r="456" spans="1:15">
      <c r="A456" s="28" t="s">
        <v>771</v>
      </c>
      <c r="B456" s="37">
        <v>0.017</v>
      </c>
      <c r="C456" s="37">
        <v>0.027</v>
      </c>
      <c r="D456" s="37">
        <v>0.451</v>
      </c>
      <c r="E456" s="37">
        <v>0.716</v>
      </c>
      <c r="F456">
        <v>0.0301</v>
      </c>
      <c r="G456">
        <v>4.6001</v>
      </c>
      <c r="I456" s="38"/>
      <c r="J456" s="39"/>
      <c r="K456" s="39"/>
      <c r="L456" s="39"/>
      <c r="M456" s="39"/>
      <c r="N456" s="40"/>
      <c r="O456" s="40"/>
    </row>
    <row r="457" spans="1:15">
      <c r="A457" s="28" t="s">
        <v>772</v>
      </c>
      <c r="B457" s="37">
        <v>0.019</v>
      </c>
      <c r="C457" s="37">
        <v>0.029</v>
      </c>
      <c r="D457" s="37">
        <v>0.484</v>
      </c>
      <c r="E457" s="37">
        <v>0.778</v>
      </c>
      <c r="F457">
        <v>0.0301</v>
      </c>
      <c r="G457">
        <v>4.6229</v>
      </c>
      <c r="I457" s="38"/>
      <c r="J457" s="39"/>
      <c r="K457" s="39"/>
      <c r="L457" s="39"/>
      <c r="M457" s="39"/>
      <c r="N457" s="40"/>
      <c r="O457" s="40"/>
    </row>
    <row r="458" spans="1:15">
      <c r="A458" s="28" t="s">
        <v>773</v>
      </c>
      <c r="B458" s="37">
        <v>0.016</v>
      </c>
      <c r="C458" s="37">
        <v>0.032</v>
      </c>
      <c r="D458" s="37">
        <v>0.418</v>
      </c>
      <c r="E458" s="37">
        <v>0.85</v>
      </c>
      <c r="F458">
        <v>0.0304</v>
      </c>
      <c r="G458">
        <v>4.6411</v>
      </c>
      <c r="I458" s="38"/>
      <c r="J458" s="39"/>
      <c r="K458" s="39"/>
      <c r="L458" s="39"/>
      <c r="M458" s="39"/>
      <c r="N458" s="40"/>
      <c r="O458" s="40"/>
    </row>
    <row r="459" spans="1:15">
      <c r="A459" s="28" t="s">
        <v>774</v>
      </c>
      <c r="B459" s="37">
        <v>0.016</v>
      </c>
      <c r="C459" s="37">
        <v>0.024</v>
      </c>
      <c r="D459" s="37">
        <v>0.412</v>
      </c>
      <c r="E459" s="37">
        <v>0.634</v>
      </c>
      <c r="F459">
        <v>0.0303</v>
      </c>
      <c r="G459">
        <v>4.6551</v>
      </c>
      <c r="I459" s="38"/>
      <c r="J459" s="39"/>
      <c r="K459" s="39"/>
      <c r="L459" s="39"/>
      <c r="M459" s="39"/>
      <c r="N459" s="40"/>
      <c r="O459" s="40"/>
    </row>
    <row r="460" spans="1:15">
      <c r="A460" s="28" t="s">
        <v>775</v>
      </c>
      <c r="B460" s="37">
        <v>0.019</v>
      </c>
      <c r="C460" s="37">
        <v>0.024</v>
      </c>
      <c r="D460" s="37">
        <v>0.501</v>
      </c>
      <c r="E460" s="37">
        <v>0.63</v>
      </c>
      <c r="F460">
        <v>0.0304</v>
      </c>
      <c r="G460">
        <v>4.6956</v>
      </c>
      <c r="I460" s="38"/>
      <c r="J460" s="39"/>
      <c r="K460" s="39"/>
      <c r="L460" s="39"/>
      <c r="M460" s="39"/>
      <c r="N460" s="40"/>
      <c r="O460" s="40"/>
    </row>
    <row r="461" spans="1:15">
      <c r="A461" s="28" t="s">
        <v>776</v>
      </c>
      <c r="B461" s="37">
        <v>0.019</v>
      </c>
      <c r="C461" s="37">
        <v>0.024</v>
      </c>
      <c r="D461" s="37">
        <v>0.493</v>
      </c>
      <c r="E461" s="37">
        <v>0.628</v>
      </c>
      <c r="F461">
        <v>0.0304</v>
      </c>
      <c r="G461">
        <v>4.7166</v>
      </c>
      <c r="I461" s="38"/>
      <c r="J461" s="39"/>
      <c r="K461" s="39"/>
      <c r="L461" s="39"/>
      <c r="M461" s="39"/>
      <c r="N461" s="40"/>
      <c r="O461" s="40"/>
    </row>
    <row r="462" spans="1:15">
      <c r="A462" s="28" t="s">
        <v>777</v>
      </c>
      <c r="B462" s="37">
        <v>0.021</v>
      </c>
      <c r="C462" s="37">
        <v>0.032</v>
      </c>
      <c r="D462" s="37">
        <v>0.544</v>
      </c>
      <c r="E462" s="37">
        <v>0.829</v>
      </c>
      <c r="F462">
        <v>0.0305</v>
      </c>
      <c r="G462">
        <v>4.7234</v>
      </c>
      <c r="I462" s="38"/>
      <c r="J462" s="39"/>
      <c r="K462" s="39"/>
      <c r="L462" s="39"/>
      <c r="M462" s="39"/>
      <c r="N462" s="40"/>
      <c r="O462" s="40"/>
    </row>
    <row r="463" spans="1:15">
      <c r="A463" s="28" t="s">
        <v>778</v>
      </c>
      <c r="B463" s="37">
        <v>0.021</v>
      </c>
      <c r="C463" s="37">
        <v>0.024</v>
      </c>
      <c r="D463" s="37">
        <v>0.545</v>
      </c>
      <c r="E463" s="37">
        <v>0.617</v>
      </c>
      <c r="F463">
        <v>0.0307</v>
      </c>
      <c r="G463">
        <v>4.7124</v>
      </c>
      <c r="I463" s="38"/>
      <c r="J463" s="39"/>
      <c r="K463" s="39"/>
      <c r="L463" s="39"/>
      <c r="M463" s="39"/>
      <c r="N463" s="40"/>
      <c r="O463" s="40"/>
    </row>
    <row r="464" spans="1:15">
      <c r="A464" s="28" t="s">
        <v>779</v>
      </c>
      <c r="B464" s="37">
        <v>0.022</v>
      </c>
      <c r="C464" s="37">
        <v>0.027</v>
      </c>
      <c r="D464" s="37">
        <v>0.546</v>
      </c>
      <c r="E464" s="37">
        <v>0.681</v>
      </c>
      <c r="F464">
        <v>0.0309</v>
      </c>
      <c r="G464">
        <v>4.7118</v>
      </c>
      <c r="I464" s="38"/>
      <c r="J464" s="39"/>
      <c r="K464" s="39"/>
      <c r="L464" s="39"/>
      <c r="M464" s="39"/>
      <c r="N464" s="40"/>
      <c r="O464" s="40"/>
    </row>
    <row r="465" spans="1:15">
      <c r="A465" s="28" t="s">
        <v>780</v>
      </c>
      <c r="B465" s="37">
        <v>0.02</v>
      </c>
      <c r="C465" s="37">
        <v>0.028</v>
      </c>
      <c r="D465" s="37">
        <v>0.512</v>
      </c>
      <c r="E465" s="37">
        <v>0.7</v>
      </c>
      <c r="F465">
        <v>0.031</v>
      </c>
      <c r="G465">
        <v>4.7375</v>
      </c>
      <c r="I465" s="38"/>
      <c r="J465" s="39"/>
      <c r="K465" s="39"/>
      <c r="L465" s="39"/>
      <c r="M465" s="39"/>
      <c r="N465" s="40"/>
      <c r="O465" s="40"/>
    </row>
    <row r="466" spans="1:15">
      <c r="A466" s="28" t="s">
        <v>781</v>
      </c>
      <c r="B466" s="37">
        <v>0.02</v>
      </c>
      <c r="C466" s="37">
        <v>0.027</v>
      </c>
      <c r="D466" s="37">
        <v>0.503</v>
      </c>
      <c r="E466" s="37">
        <v>0.669</v>
      </c>
      <c r="F466">
        <v>0.0308</v>
      </c>
      <c r="G466">
        <v>4.733</v>
      </c>
      <c r="I466" s="38"/>
      <c r="J466" s="39"/>
      <c r="K466" s="39"/>
      <c r="L466" s="39"/>
      <c r="M466" s="39"/>
      <c r="N466" s="40"/>
      <c r="O466" s="40"/>
    </row>
    <row r="467" spans="1:15">
      <c r="A467" s="28" t="s">
        <v>782</v>
      </c>
      <c r="B467" s="37">
        <v>0.018</v>
      </c>
      <c r="C467" s="37">
        <v>0.025</v>
      </c>
      <c r="D467" s="37">
        <v>0.458</v>
      </c>
      <c r="E467" s="37">
        <v>0.612</v>
      </c>
      <c r="F467">
        <v>0.0307</v>
      </c>
      <c r="G467">
        <v>4.7206</v>
      </c>
      <c r="I467" s="38"/>
      <c r="J467" s="39"/>
      <c r="K467" s="39"/>
      <c r="L467" s="39"/>
      <c r="M467" s="39"/>
      <c r="N467" s="40"/>
      <c r="O467" s="40"/>
    </row>
    <row r="468" spans="1:15">
      <c r="A468" s="28" t="s">
        <v>783</v>
      </c>
      <c r="B468" s="37">
        <v>0.02</v>
      </c>
      <c r="C468" s="37">
        <v>0.024</v>
      </c>
      <c r="D468" s="37">
        <v>0.493</v>
      </c>
      <c r="E468" s="37">
        <v>0.568</v>
      </c>
      <c r="F468">
        <v>0.0306</v>
      </c>
      <c r="G468">
        <v>4.7508</v>
      </c>
      <c r="I468" s="38"/>
      <c r="J468" s="39"/>
      <c r="K468" s="39"/>
      <c r="L468" s="39"/>
      <c r="M468" s="39"/>
      <c r="N468" s="40"/>
      <c r="O468" s="40"/>
    </row>
    <row r="469" spans="1:15">
      <c r="A469" s="28" t="s">
        <v>784</v>
      </c>
      <c r="B469" s="37">
        <v>0.02</v>
      </c>
      <c r="C469" s="37">
        <v>0.024</v>
      </c>
      <c r="D469" s="37">
        <v>0.488</v>
      </c>
      <c r="E469" s="37">
        <v>0.567</v>
      </c>
      <c r="F469">
        <v>0.0307</v>
      </c>
      <c r="G469">
        <v>4.7549</v>
      </c>
      <c r="I469" s="38"/>
      <c r="J469" s="39"/>
      <c r="K469" s="39"/>
      <c r="L469" s="39"/>
      <c r="M469" s="39"/>
      <c r="N469" s="40"/>
      <c r="O469" s="40"/>
    </row>
    <row r="470" spans="1:15">
      <c r="A470" s="28" t="s">
        <v>785</v>
      </c>
      <c r="B470" s="37">
        <v>0.021</v>
      </c>
      <c r="C470" s="37">
        <v>0.024</v>
      </c>
      <c r="D470" s="37">
        <v>0.506</v>
      </c>
      <c r="E470" s="37">
        <v>0.563</v>
      </c>
      <c r="F470">
        <v>0.0307</v>
      </c>
      <c r="G470">
        <v>4.7812</v>
      </c>
      <c r="I470" s="38"/>
      <c r="J470" s="39"/>
      <c r="K470" s="39"/>
      <c r="L470" s="39"/>
      <c r="M470" s="39"/>
      <c r="N470" s="40"/>
      <c r="O470" s="40"/>
    </row>
    <row r="471" spans="1:15">
      <c r="A471" s="28" t="s">
        <v>786</v>
      </c>
      <c r="B471" s="37">
        <v>0.022</v>
      </c>
      <c r="C471" s="37">
        <v>0.026</v>
      </c>
      <c r="D471" s="37">
        <v>0.526</v>
      </c>
      <c r="E471" s="37">
        <v>0.613</v>
      </c>
      <c r="F471">
        <v>0.0307</v>
      </c>
      <c r="G471">
        <v>4.8378</v>
      </c>
      <c r="I471" s="38"/>
      <c r="J471" s="39"/>
      <c r="K471" s="39"/>
      <c r="L471" s="39"/>
      <c r="M471" s="39"/>
      <c r="N471" s="40"/>
      <c r="O471" s="40"/>
    </row>
    <row r="472" spans="1:15">
      <c r="A472" s="28" t="s">
        <v>787</v>
      </c>
      <c r="B472" s="37">
        <v>0.023</v>
      </c>
      <c r="C472" s="37">
        <v>0.027</v>
      </c>
      <c r="D472" s="37">
        <v>0.56</v>
      </c>
      <c r="E472" s="37">
        <v>0.627</v>
      </c>
      <c r="F472">
        <v>0.0312</v>
      </c>
      <c r="G472">
        <v>4.8583</v>
      </c>
      <c r="I472" s="38"/>
      <c r="J472" s="39"/>
      <c r="K472" s="39"/>
      <c r="L472" s="39"/>
      <c r="M472" s="39"/>
      <c r="N472" s="40"/>
      <c r="O472" s="40"/>
    </row>
    <row r="473" spans="1:15">
      <c r="A473" s="28" t="s">
        <v>788</v>
      </c>
      <c r="B473" s="37">
        <v>0.022</v>
      </c>
      <c r="C473" s="37">
        <v>0.024</v>
      </c>
      <c r="D473" s="37">
        <v>0.533</v>
      </c>
      <c r="E473" s="37">
        <v>0.548</v>
      </c>
      <c r="F473">
        <v>0.0314</v>
      </c>
      <c r="G473">
        <v>4.8519</v>
      </c>
      <c r="I473" s="38"/>
      <c r="J473" s="39"/>
      <c r="K473" s="39"/>
      <c r="L473" s="39"/>
      <c r="M473" s="39"/>
      <c r="N473" s="40"/>
      <c r="O473" s="40"/>
    </row>
    <row r="474" spans="1:15">
      <c r="A474" s="28" t="s">
        <v>789</v>
      </c>
      <c r="B474" s="37">
        <v>0.022</v>
      </c>
      <c r="C474" s="37">
        <v>0.025</v>
      </c>
      <c r="D474" s="37">
        <v>0.528</v>
      </c>
      <c r="E474" s="37">
        <v>0.59</v>
      </c>
      <c r="F474">
        <v>0.0314</v>
      </c>
      <c r="G474">
        <v>4.8279</v>
      </c>
      <c r="I474" s="38"/>
      <c r="J474" s="39"/>
      <c r="K474" s="39"/>
      <c r="L474" s="39"/>
      <c r="M474" s="39"/>
      <c r="N474" s="40"/>
      <c r="O474" s="40"/>
    </row>
    <row r="475" spans="1:15">
      <c r="A475" s="28" t="s">
        <v>790</v>
      </c>
      <c r="B475" s="37">
        <v>0.022</v>
      </c>
      <c r="C475" s="37">
        <v>0.032</v>
      </c>
      <c r="D475" s="37">
        <v>0.527</v>
      </c>
      <c r="E475" s="37">
        <v>0.748</v>
      </c>
      <c r="F475">
        <v>0.0313</v>
      </c>
      <c r="G475">
        <v>4.8588</v>
      </c>
      <c r="I475" s="38"/>
      <c r="J475" s="39"/>
      <c r="K475" s="39"/>
      <c r="L475" s="39"/>
      <c r="M475" s="39"/>
      <c r="N475" s="40"/>
      <c r="O475" s="40"/>
    </row>
    <row r="476" spans="1:15">
      <c r="A476" s="28" t="s">
        <v>791</v>
      </c>
      <c r="B476" s="37">
        <v>0.022</v>
      </c>
      <c r="C476" s="37">
        <v>0.035</v>
      </c>
      <c r="D476" s="37">
        <v>0.518</v>
      </c>
      <c r="E476" s="37">
        <v>0.816</v>
      </c>
      <c r="F476">
        <v>0.0313</v>
      </c>
      <c r="G476">
        <v>4.8733</v>
      </c>
      <c r="I476" s="38"/>
      <c r="J476" s="39"/>
      <c r="K476" s="39"/>
      <c r="L476" s="39"/>
      <c r="M476" s="39"/>
      <c r="N476" s="40"/>
      <c r="O476" s="40"/>
    </row>
    <row r="477" spans="1:15">
      <c r="A477" s="28" t="s">
        <v>792</v>
      </c>
      <c r="B477" s="37">
        <v>0.019</v>
      </c>
      <c r="C477" s="37">
        <v>0.04</v>
      </c>
      <c r="D477" s="37">
        <v>0.454</v>
      </c>
      <c r="E477" s="37">
        <v>0.912</v>
      </c>
      <c r="F477">
        <v>0.0314</v>
      </c>
      <c r="G477">
        <v>4.9162</v>
      </c>
      <c r="I477" s="38"/>
      <c r="J477" s="39"/>
      <c r="K477" s="39"/>
      <c r="L477" s="39"/>
      <c r="M477" s="39"/>
      <c r="N477" s="40"/>
      <c r="O477" s="40"/>
    </row>
    <row r="478" spans="1:15">
      <c r="A478" s="28" t="s">
        <v>793</v>
      </c>
      <c r="B478" s="37">
        <v>0.021</v>
      </c>
      <c r="C478" s="37">
        <v>0.04</v>
      </c>
      <c r="D478" s="37">
        <v>0.494</v>
      </c>
      <c r="E478" s="37">
        <v>0.914</v>
      </c>
      <c r="F478">
        <v>0.0314</v>
      </c>
      <c r="G478">
        <v>4.9327</v>
      </c>
      <c r="I478" s="38"/>
      <c r="J478" s="39"/>
      <c r="K478" s="39"/>
      <c r="L478" s="39"/>
      <c r="M478" s="39"/>
      <c r="N478" s="40"/>
      <c r="O478" s="40"/>
    </row>
    <row r="479" spans="1:15">
      <c r="A479" s="28" t="s">
        <v>794</v>
      </c>
      <c r="B479" s="37">
        <v>0.02</v>
      </c>
      <c r="C479" s="37">
        <v>0.038</v>
      </c>
      <c r="D479" s="37">
        <v>0.483</v>
      </c>
      <c r="E479" s="37">
        <v>0.874</v>
      </c>
      <c r="F479">
        <v>0.0316</v>
      </c>
      <c r="G479">
        <v>5.0124</v>
      </c>
      <c r="I479" s="38"/>
      <c r="J479" s="39"/>
      <c r="K479" s="39"/>
      <c r="L479" s="39"/>
      <c r="M479" s="39"/>
      <c r="N479" s="40"/>
      <c r="O479" s="40"/>
    </row>
    <row r="480" spans="1:15">
      <c r="A480" s="28" t="s">
        <v>795</v>
      </c>
      <c r="B480" s="37">
        <v>0.022</v>
      </c>
      <c r="C480" s="37">
        <v>0.047</v>
      </c>
      <c r="D480" s="37">
        <v>0.514</v>
      </c>
      <c r="E480" s="37">
        <v>1.063</v>
      </c>
      <c r="F480">
        <v>0.0317</v>
      </c>
      <c r="G480">
        <v>5.0276</v>
      </c>
      <c r="I480" s="38"/>
      <c r="J480" s="39"/>
      <c r="K480" s="39"/>
      <c r="L480" s="39"/>
      <c r="M480" s="39"/>
      <c r="N480" s="40"/>
      <c r="O480" s="40"/>
    </row>
    <row r="481" spans="1:15">
      <c r="A481" s="28" t="s">
        <v>796</v>
      </c>
      <c r="B481" s="37">
        <v>0.022</v>
      </c>
      <c r="C481" s="37">
        <v>0.041</v>
      </c>
      <c r="D481" s="37">
        <v>0.525</v>
      </c>
      <c r="E481" s="37">
        <v>0.924</v>
      </c>
      <c r="F481">
        <v>0.0317</v>
      </c>
      <c r="G481">
        <v>5.0431</v>
      </c>
      <c r="I481" s="38"/>
      <c r="J481" s="39"/>
      <c r="K481" s="39"/>
      <c r="L481" s="39"/>
      <c r="M481" s="39"/>
      <c r="N481" s="40"/>
      <c r="O481" s="40"/>
    </row>
    <row r="482" spans="1:15">
      <c r="A482" s="28" t="s">
        <v>797</v>
      </c>
      <c r="B482" s="37">
        <v>0.023</v>
      </c>
      <c r="C482" s="37">
        <v>0.048</v>
      </c>
      <c r="D482" s="37">
        <v>0.539</v>
      </c>
      <c r="E482" s="37">
        <v>1.083</v>
      </c>
      <c r="F482">
        <v>0.0317</v>
      </c>
      <c r="G482">
        <v>5.0971</v>
      </c>
      <c r="I482" s="38"/>
      <c r="J482" s="39"/>
      <c r="K482" s="39"/>
      <c r="L482" s="39"/>
      <c r="M482" s="39"/>
      <c r="N482" s="40"/>
      <c r="O482" s="40"/>
    </row>
    <row r="483" spans="1:15">
      <c r="A483" s="28" t="s">
        <v>798</v>
      </c>
      <c r="B483" s="37">
        <v>0.023</v>
      </c>
      <c r="C483" s="37">
        <v>0.04</v>
      </c>
      <c r="D483" s="37">
        <v>0.533</v>
      </c>
      <c r="E483" s="37">
        <v>0.905</v>
      </c>
      <c r="F483">
        <v>0.0321</v>
      </c>
      <c r="G483">
        <v>5.1326</v>
      </c>
      <c r="I483" s="38"/>
      <c r="J483" s="39"/>
      <c r="K483" s="39"/>
      <c r="L483" s="39"/>
      <c r="M483" s="39"/>
      <c r="N483" s="40"/>
      <c r="O483" s="40"/>
    </row>
    <row r="484" spans="1:15">
      <c r="A484" s="28" t="s">
        <v>799</v>
      </c>
      <c r="B484" s="37">
        <v>0.023</v>
      </c>
      <c r="C484" s="37">
        <v>0.038</v>
      </c>
      <c r="D484" s="37">
        <v>0.531</v>
      </c>
      <c r="E484" s="37">
        <v>0.856</v>
      </c>
      <c r="F484">
        <v>0.0322</v>
      </c>
      <c r="G484">
        <v>5.1605</v>
      </c>
      <c r="I484" s="38"/>
      <c r="J484" s="39"/>
      <c r="K484" s="39"/>
      <c r="L484" s="39"/>
      <c r="M484" s="39"/>
      <c r="N484" s="40"/>
      <c r="O484" s="40"/>
    </row>
    <row r="485" spans="1:15">
      <c r="A485" s="28" t="s">
        <v>800</v>
      </c>
      <c r="B485" s="37">
        <v>0.023</v>
      </c>
      <c r="C485" s="37">
        <v>0.024</v>
      </c>
      <c r="D485" s="37">
        <v>0.533</v>
      </c>
      <c r="E485" s="37">
        <v>0.548</v>
      </c>
      <c r="F485">
        <v>0.0323</v>
      </c>
      <c r="G485">
        <v>5.183</v>
      </c>
      <c r="I485" s="38"/>
      <c r="J485" s="39"/>
      <c r="K485" s="39"/>
      <c r="L485" s="39"/>
      <c r="M485" s="39"/>
      <c r="N485" s="40"/>
      <c r="O485" s="40"/>
    </row>
    <row r="486" spans="1:15">
      <c r="A486" s="28" t="s">
        <v>801</v>
      </c>
      <c r="B486" s="37">
        <v>0.024</v>
      </c>
      <c r="C486" s="37">
        <v>0.027</v>
      </c>
      <c r="D486" s="37">
        <v>0.557</v>
      </c>
      <c r="E486" s="37">
        <v>0.609</v>
      </c>
      <c r="F486">
        <v>0.0325</v>
      </c>
      <c r="G486">
        <v>5.2302</v>
      </c>
      <c r="I486" s="38"/>
      <c r="J486" s="39"/>
      <c r="K486" s="39"/>
      <c r="L486" s="39"/>
      <c r="M486" s="39"/>
      <c r="N486" s="40"/>
      <c r="O486" s="40"/>
    </row>
    <row r="487" spans="1:15">
      <c r="A487" s="28" t="s">
        <v>802</v>
      </c>
      <c r="B487" s="37">
        <v>0.025</v>
      </c>
      <c r="C487" s="37">
        <v>0.016</v>
      </c>
      <c r="D487" s="37">
        <v>0.582</v>
      </c>
      <c r="E487" s="37">
        <v>0.368</v>
      </c>
      <c r="F487">
        <v>0.0326</v>
      </c>
      <c r="G487">
        <v>5.2153</v>
      </c>
      <c r="I487" s="38"/>
      <c r="J487" s="39"/>
      <c r="K487" s="39"/>
      <c r="L487" s="39"/>
      <c r="M487" s="39"/>
      <c r="N487" s="40"/>
      <c r="O487" s="40"/>
    </row>
    <row r="488" spans="1:15">
      <c r="A488" s="28" t="s">
        <v>803</v>
      </c>
      <c r="B488" s="37">
        <v>0.024</v>
      </c>
      <c r="C488" s="37">
        <v>0.018</v>
      </c>
      <c r="D488" s="37">
        <v>0.55</v>
      </c>
      <c r="E488" s="37">
        <v>0.407</v>
      </c>
      <c r="F488">
        <v>0.0327</v>
      </c>
      <c r="G488">
        <v>5.2796</v>
      </c>
      <c r="I488" s="38"/>
      <c r="J488" s="39"/>
      <c r="K488" s="39"/>
      <c r="L488" s="39"/>
      <c r="M488" s="39"/>
      <c r="N488" s="40"/>
      <c r="O488" s="40"/>
    </row>
    <row r="489" spans="1:15">
      <c r="A489" s="28" t="s">
        <v>804</v>
      </c>
      <c r="B489" s="37">
        <v>0.023</v>
      </c>
      <c r="C489" s="37">
        <v>0.016</v>
      </c>
      <c r="D489" s="37">
        <v>0.518</v>
      </c>
      <c r="E489" s="37">
        <v>0.364</v>
      </c>
      <c r="F489">
        <v>0.0327</v>
      </c>
      <c r="G489">
        <v>5.2741</v>
      </c>
      <c r="I489" s="38"/>
      <c r="J489" s="39"/>
      <c r="K489" s="39"/>
      <c r="L489" s="39"/>
      <c r="M489" s="39"/>
      <c r="N489" s="40"/>
      <c r="O489" s="40"/>
    </row>
    <row r="490" spans="1:15">
      <c r="A490" s="28" t="s">
        <v>805</v>
      </c>
      <c r="B490" s="37">
        <v>0.023</v>
      </c>
      <c r="C490" s="37">
        <v>0.019</v>
      </c>
      <c r="D490" s="37">
        <v>0.532</v>
      </c>
      <c r="E490" s="37">
        <v>0.418</v>
      </c>
      <c r="F490">
        <v>0.033</v>
      </c>
      <c r="G490">
        <v>5.2658</v>
      </c>
      <c r="I490" s="38"/>
      <c r="J490" s="39"/>
      <c r="K490" s="39"/>
      <c r="L490" s="39"/>
      <c r="M490" s="39"/>
      <c r="N490" s="40"/>
      <c r="O490" s="40"/>
    </row>
    <row r="491" spans="1:15">
      <c r="A491" s="28" t="s">
        <v>806</v>
      </c>
      <c r="B491" s="37">
        <v>0.024</v>
      </c>
      <c r="C491" s="37">
        <v>0.021</v>
      </c>
      <c r="D491" s="37">
        <v>0.551</v>
      </c>
      <c r="E491" s="37">
        <v>0.457</v>
      </c>
      <c r="F491">
        <v>0.0329</v>
      </c>
      <c r="G491">
        <v>5.2966</v>
      </c>
      <c r="I491" s="38"/>
      <c r="J491" s="39"/>
      <c r="K491" s="39"/>
      <c r="L491" s="39"/>
      <c r="M491" s="39"/>
      <c r="N491" s="40"/>
      <c r="O491" s="40"/>
    </row>
    <row r="492" spans="1:15">
      <c r="A492" s="28" t="s">
        <v>807</v>
      </c>
      <c r="B492" s="37">
        <v>0.025</v>
      </c>
      <c r="C492" s="37">
        <v>0.021</v>
      </c>
      <c r="D492" s="37">
        <v>0.562</v>
      </c>
      <c r="E492" s="37">
        <v>0.453</v>
      </c>
      <c r="F492">
        <v>0.0329</v>
      </c>
      <c r="G492">
        <v>5.3036</v>
      </c>
      <c r="I492" s="38"/>
      <c r="J492" s="39"/>
      <c r="K492" s="39"/>
      <c r="L492" s="39"/>
      <c r="M492" s="39"/>
      <c r="N492" s="40"/>
      <c r="O492" s="40"/>
    </row>
    <row r="493" spans="1:15">
      <c r="A493" s="28" t="s">
        <v>808</v>
      </c>
      <c r="B493" s="37">
        <v>0.025</v>
      </c>
      <c r="C493" s="37">
        <v>0.024</v>
      </c>
      <c r="D493" s="37">
        <v>0.555</v>
      </c>
      <c r="E493" s="37">
        <v>0.516</v>
      </c>
      <c r="F493">
        <v>0.0327</v>
      </c>
      <c r="G493">
        <v>5.2646</v>
      </c>
      <c r="I493" s="38"/>
      <c r="J493" s="39"/>
      <c r="K493" s="39"/>
      <c r="L493" s="39"/>
      <c r="M493" s="39"/>
      <c r="N493" s="40"/>
      <c r="O493" s="40"/>
    </row>
    <row r="494" spans="1:15">
      <c r="A494" s="28" t="s">
        <v>809</v>
      </c>
      <c r="B494" s="37">
        <v>0.025</v>
      </c>
      <c r="C494" s="37">
        <v>0.024</v>
      </c>
      <c r="D494" s="37">
        <v>0.571</v>
      </c>
      <c r="E494" s="37">
        <v>0.515</v>
      </c>
      <c r="F494">
        <v>0.0327</v>
      </c>
      <c r="G494">
        <v>5.2624</v>
      </c>
      <c r="I494" s="38"/>
      <c r="J494" s="39"/>
      <c r="K494" s="39"/>
      <c r="L494" s="39"/>
      <c r="M494" s="39"/>
      <c r="N494" s="40"/>
      <c r="O494" s="40"/>
    </row>
    <row r="495" spans="1:15">
      <c r="A495" s="28" t="s">
        <v>810</v>
      </c>
      <c r="B495" s="37">
        <v>0.027</v>
      </c>
      <c r="C495" s="37">
        <v>0.021</v>
      </c>
      <c r="D495" s="37">
        <v>0.61</v>
      </c>
      <c r="E495" s="37">
        <v>0.452</v>
      </c>
      <c r="F495">
        <v>0.0326</v>
      </c>
      <c r="G495">
        <v>5.3236</v>
      </c>
      <c r="I495" s="38"/>
      <c r="J495" s="39"/>
      <c r="K495" s="39"/>
      <c r="L495" s="39"/>
      <c r="M495" s="39"/>
      <c r="N495" s="40"/>
      <c r="O495" s="40"/>
    </row>
    <row r="496" spans="1:15">
      <c r="A496" s="28" t="s">
        <v>811</v>
      </c>
      <c r="B496" s="37">
        <v>0.026</v>
      </c>
      <c r="C496" s="37">
        <v>0.021</v>
      </c>
      <c r="D496" s="37">
        <v>0.581</v>
      </c>
      <c r="E496" s="37">
        <v>0.449</v>
      </c>
      <c r="F496">
        <v>0.0325</v>
      </c>
      <c r="G496">
        <v>5.3851</v>
      </c>
      <c r="I496" s="38"/>
      <c r="J496" s="39"/>
      <c r="K496" s="39"/>
      <c r="L496" s="39"/>
      <c r="M496" s="39"/>
      <c r="N496" s="40"/>
      <c r="O496" s="40"/>
    </row>
    <row r="497" spans="1:15">
      <c r="A497" s="28" t="s">
        <v>812</v>
      </c>
      <c r="B497" s="37">
        <v>0.027</v>
      </c>
      <c r="C497" s="37">
        <v>0.021</v>
      </c>
      <c r="D497" s="37">
        <v>0.593</v>
      </c>
      <c r="E497" s="37">
        <v>0.446</v>
      </c>
      <c r="F497">
        <v>0.0327</v>
      </c>
      <c r="G497">
        <v>5.4724</v>
      </c>
      <c r="I497" s="38"/>
      <c r="J497" s="39"/>
      <c r="K497" s="39"/>
      <c r="L497" s="39"/>
      <c r="M497" s="39"/>
      <c r="N497" s="40"/>
      <c r="O497" s="40"/>
    </row>
    <row r="498" spans="1:15">
      <c r="A498" s="28" t="s">
        <v>813</v>
      </c>
      <c r="B498" s="37">
        <v>0.027</v>
      </c>
      <c r="C498" s="37">
        <v>0.021</v>
      </c>
      <c r="D498" s="37">
        <v>0.586</v>
      </c>
      <c r="E498" s="37">
        <v>0.444</v>
      </c>
      <c r="F498">
        <v>0.0329</v>
      </c>
      <c r="G498">
        <v>5.5851</v>
      </c>
      <c r="I498" s="38"/>
      <c r="J498" s="39"/>
      <c r="K498" s="39"/>
      <c r="L498" s="39"/>
      <c r="M498" s="39"/>
      <c r="N498" s="40"/>
      <c r="O498" s="40"/>
    </row>
    <row r="499" spans="1:15">
      <c r="A499" s="28" t="s">
        <v>814</v>
      </c>
      <c r="B499" s="37">
        <v>0.026</v>
      </c>
      <c r="C499" s="37">
        <v>0.021</v>
      </c>
      <c r="D499" s="37">
        <v>0.581</v>
      </c>
      <c r="E499" s="37">
        <v>0.444</v>
      </c>
      <c r="F499">
        <v>0.0331</v>
      </c>
      <c r="G499">
        <v>5.6232</v>
      </c>
      <c r="I499" s="38"/>
      <c r="J499" s="39"/>
      <c r="K499" s="39"/>
      <c r="L499" s="39"/>
      <c r="M499" s="39"/>
      <c r="N499" s="40"/>
      <c r="O499" s="40"/>
    </row>
    <row r="500" spans="1:15">
      <c r="A500" s="28" t="s">
        <v>815</v>
      </c>
      <c r="B500" s="37">
        <v>0.025</v>
      </c>
      <c r="C500" s="37">
        <v>0.021</v>
      </c>
      <c r="D500" s="37">
        <v>0.556</v>
      </c>
      <c r="E500" s="37">
        <v>0.438</v>
      </c>
      <c r="F500">
        <v>0.0332</v>
      </c>
      <c r="G500">
        <v>5.7001</v>
      </c>
      <c r="I500" s="38"/>
      <c r="J500" s="39"/>
      <c r="K500" s="39"/>
      <c r="L500" s="39"/>
      <c r="M500" s="39"/>
      <c r="N500" s="40"/>
      <c r="O500" s="40"/>
    </row>
    <row r="501" spans="1:15">
      <c r="A501" s="28" t="s">
        <v>816</v>
      </c>
      <c r="B501" s="37">
        <v>0.026</v>
      </c>
      <c r="C501" s="37">
        <v>0.021</v>
      </c>
      <c r="D501" s="37">
        <v>0.565</v>
      </c>
      <c r="E501" s="37">
        <v>0.434</v>
      </c>
      <c r="F501">
        <v>0.0332</v>
      </c>
      <c r="G501">
        <v>5.6371</v>
      </c>
      <c r="I501" s="38"/>
      <c r="J501" s="39"/>
      <c r="K501" s="39"/>
      <c r="L501" s="39"/>
      <c r="M501" s="39"/>
      <c r="N501" s="40"/>
      <c r="O501" s="40"/>
    </row>
    <row r="502" spans="1:15">
      <c r="A502" s="28" t="s">
        <v>817</v>
      </c>
      <c r="B502" s="37">
        <v>0.026</v>
      </c>
      <c r="C502" s="37">
        <v>0.025</v>
      </c>
      <c r="D502" s="37">
        <v>0.562</v>
      </c>
      <c r="E502" s="37">
        <v>0.505</v>
      </c>
      <c r="F502">
        <v>0.0332</v>
      </c>
      <c r="G502">
        <v>5.6947</v>
      </c>
      <c r="I502" s="38"/>
      <c r="J502" s="39"/>
      <c r="K502" s="39"/>
      <c r="L502" s="39"/>
      <c r="M502" s="39"/>
      <c r="N502" s="40"/>
      <c r="O502" s="40"/>
    </row>
    <row r="503" spans="1:15">
      <c r="A503" s="28" t="s">
        <v>818</v>
      </c>
      <c r="B503" s="37">
        <v>0.024</v>
      </c>
      <c r="C503" s="37">
        <v>0.025</v>
      </c>
      <c r="D503" s="37">
        <v>0.517</v>
      </c>
      <c r="E503" s="37">
        <v>0.518</v>
      </c>
      <c r="F503">
        <v>0.0333</v>
      </c>
      <c r="G503">
        <v>5.7853</v>
      </c>
      <c r="I503" s="38"/>
      <c r="J503" s="39"/>
      <c r="K503" s="39"/>
      <c r="L503" s="39"/>
      <c r="M503" s="39"/>
      <c r="N503" s="40"/>
      <c r="O503" s="40"/>
    </row>
    <row r="504" spans="1:15">
      <c r="A504" s="28" t="s">
        <v>819</v>
      </c>
      <c r="B504" s="37">
        <v>0.022</v>
      </c>
      <c r="C504" s="37">
        <v>0.027</v>
      </c>
      <c r="D504" s="37">
        <v>0.482</v>
      </c>
      <c r="E504" s="37">
        <v>0.558</v>
      </c>
      <c r="F504">
        <v>0.0333</v>
      </c>
      <c r="G504">
        <v>5.7206</v>
      </c>
      <c r="I504" s="38"/>
      <c r="J504" s="39"/>
      <c r="K504" s="39"/>
      <c r="L504" s="39"/>
      <c r="M504" s="39"/>
      <c r="N504" s="40"/>
      <c r="O504" s="40"/>
    </row>
    <row r="505" spans="1:15">
      <c r="A505" s="28" t="s">
        <v>820</v>
      </c>
      <c r="B505" s="37">
        <v>0.024</v>
      </c>
      <c r="C505" s="37">
        <v>0.025</v>
      </c>
      <c r="D505" s="37">
        <v>0.514</v>
      </c>
      <c r="E505" s="37">
        <v>0.516</v>
      </c>
      <c r="F505">
        <v>0.0335</v>
      </c>
      <c r="G505">
        <v>5.7502</v>
      </c>
      <c r="I505" s="38"/>
      <c r="J505" s="39"/>
      <c r="K505" s="39"/>
      <c r="L505" s="39"/>
      <c r="M505" s="39"/>
      <c r="N505" s="40"/>
      <c r="O505" s="40"/>
    </row>
    <row r="506" spans="1:15">
      <c r="A506" s="28" t="s">
        <v>821</v>
      </c>
      <c r="B506" s="37">
        <v>0.024</v>
      </c>
      <c r="C506" s="37">
        <v>0.027</v>
      </c>
      <c r="D506" s="37">
        <v>0.515</v>
      </c>
      <c r="E506" s="37">
        <v>0.563</v>
      </c>
      <c r="F506">
        <v>0.0338</v>
      </c>
      <c r="G506">
        <v>5.7973</v>
      </c>
      <c r="I506" s="38"/>
      <c r="J506" s="39"/>
      <c r="K506" s="39"/>
      <c r="L506" s="39"/>
      <c r="M506" s="39"/>
      <c r="N506" s="40"/>
      <c r="O506" s="40"/>
    </row>
    <row r="507" spans="1:15">
      <c r="A507" s="28" t="s">
        <v>822</v>
      </c>
      <c r="B507" s="37">
        <v>0.023</v>
      </c>
      <c r="C507" s="37">
        <v>0.027</v>
      </c>
      <c r="D507" s="37">
        <v>0.497</v>
      </c>
      <c r="E507" s="37">
        <v>0.559</v>
      </c>
      <c r="F507">
        <v>0.0339</v>
      </c>
      <c r="G507">
        <v>5.8118</v>
      </c>
      <c r="I507" s="38"/>
      <c r="J507" s="39"/>
      <c r="K507" s="39"/>
      <c r="L507" s="39"/>
      <c r="M507" s="39"/>
      <c r="N507" s="40"/>
      <c r="O507" s="40"/>
    </row>
    <row r="508" spans="1:15">
      <c r="A508" s="28" t="s">
        <v>823</v>
      </c>
      <c r="B508" s="37">
        <v>0.022</v>
      </c>
      <c r="C508" s="37">
        <v>0.037</v>
      </c>
      <c r="D508" s="37">
        <v>0.464</v>
      </c>
      <c r="E508" s="37">
        <v>0.753</v>
      </c>
      <c r="F508">
        <v>0.0337</v>
      </c>
      <c r="G508">
        <v>5.7996</v>
      </c>
      <c r="I508" s="38"/>
      <c r="J508" s="39"/>
      <c r="K508" s="39"/>
      <c r="L508" s="39"/>
      <c r="M508" s="39"/>
      <c r="N508" s="40"/>
      <c r="O508" s="40"/>
    </row>
    <row r="509" spans="1:15">
      <c r="A509" s="28" t="s">
        <v>824</v>
      </c>
      <c r="B509" s="37">
        <v>0.021</v>
      </c>
      <c r="C509" s="37">
        <v>0.037</v>
      </c>
      <c r="D509" s="37">
        <v>0.444</v>
      </c>
      <c r="E509" s="37">
        <v>0.746</v>
      </c>
      <c r="F509">
        <v>0.0337</v>
      </c>
      <c r="G509">
        <v>5.7952</v>
      </c>
      <c r="I509" s="38"/>
      <c r="J509" s="39"/>
      <c r="K509" s="39"/>
      <c r="L509" s="39"/>
      <c r="M509" s="39"/>
      <c r="N509" s="40"/>
      <c r="O509" s="40"/>
    </row>
    <row r="510" spans="1:15">
      <c r="A510" s="28" t="s">
        <v>825</v>
      </c>
      <c r="B510" s="37">
        <v>0.022</v>
      </c>
      <c r="C510" s="37">
        <v>0.036</v>
      </c>
      <c r="D510" s="37">
        <v>0.461</v>
      </c>
      <c r="E510" s="37">
        <v>0.725</v>
      </c>
      <c r="F510">
        <v>0.0338</v>
      </c>
      <c r="G510">
        <v>5.7737</v>
      </c>
      <c r="I510" s="38"/>
      <c r="J510" s="39"/>
      <c r="K510" s="39"/>
      <c r="L510" s="39"/>
      <c r="M510" s="39"/>
      <c r="N510" s="40"/>
      <c r="O510" s="40"/>
    </row>
    <row r="511" spans="1:15">
      <c r="A511" s="28" t="s">
        <v>826</v>
      </c>
      <c r="B511" s="37">
        <v>0.024</v>
      </c>
      <c r="C511" s="37">
        <v>0.036</v>
      </c>
      <c r="D511" s="37">
        <v>0.496</v>
      </c>
      <c r="E511" s="37">
        <v>0.724</v>
      </c>
      <c r="F511">
        <v>0.0338</v>
      </c>
      <c r="G511">
        <v>5.7544</v>
      </c>
      <c r="I511" s="38"/>
      <c r="J511" s="39"/>
      <c r="K511" s="39"/>
      <c r="L511" s="39"/>
      <c r="M511" s="39"/>
      <c r="N511" s="40"/>
      <c r="O511" s="40"/>
    </row>
    <row r="512" spans="1:15">
      <c r="A512" s="28" t="s">
        <v>827</v>
      </c>
      <c r="B512" s="37">
        <v>0.024</v>
      </c>
      <c r="C512" s="37">
        <v>0.046</v>
      </c>
      <c r="D512" s="37">
        <v>0.494</v>
      </c>
      <c r="E512" s="37">
        <v>0.931</v>
      </c>
      <c r="F512">
        <v>0.0337</v>
      </c>
      <c r="G512">
        <v>5.8104</v>
      </c>
      <c r="I512" s="38"/>
      <c r="J512" s="39"/>
      <c r="K512" s="39"/>
      <c r="L512" s="39"/>
      <c r="M512" s="39"/>
      <c r="N512" s="40"/>
      <c r="O512" s="40"/>
    </row>
    <row r="513" spans="1:15">
      <c r="A513" s="28" t="s">
        <v>828</v>
      </c>
      <c r="B513" s="37">
        <v>0.025</v>
      </c>
      <c r="C513" s="37">
        <v>0.048</v>
      </c>
      <c r="D513" s="37">
        <v>0.518</v>
      </c>
      <c r="E513" s="37">
        <v>0.963</v>
      </c>
      <c r="F513">
        <v>0.0337</v>
      </c>
      <c r="G513">
        <v>5.8302</v>
      </c>
      <c r="I513" s="38"/>
      <c r="J513" s="39"/>
      <c r="K513" s="39"/>
      <c r="L513" s="39"/>
      <c r="M513" s="39"/>
      <c r="N513" s="40"/>
      <c r="O513" s="40"/>
    </row>
    <row r="514" spans="1:15">
      <c r="A514" s="28" t="s">
        <v>829</v>
      </c>
      <c r="B514" s="37">
        <v>0.025</v>
      </c>
      <c r="C514" s="37">
        <v>0.048</v>
      </c>
      <c r="D514" s="37">
        <v>0.509</v>
      </c>
      <c r="E514" s="37">
        <v>0.98</v>
      </c>
      <c r="F514">
        <v>0.0336</v>
      </c>
      <c r="G514">
        <v>5.8312</v>
      </c>
      <c r="I514" s="38"/>
      <c r="J514" s="39"/>
      <c r="K514" s="39"/>
      <c r="L514" s="39"/>
      <c r="M514" s="39"/>
      <c r="N514" s="40"/>
      <c r="O514" s="40"/>
    </row>
    <row r="515" spans="1:15">
      <c r="A515" s="28" t="s">
        <v>830</v>
      </c>
      <c r="B515" s="37">
        <v>0.026</v>
      </c>
      <c r="C515" s="37">
        <v>0.027</v>
      </c>
      <c r="D515" s="37">
        <v>0.546</v>
      </c>
      <c r="E515" s="37">
        <v>0.543</v>
      </c>
      <c r="F515">
        <v>0.034</v>
      </c>
      <c r="G515">
        <v>5.7881</v>
      </c>
      <c r="I515" s="38"/>
      <c r="J515" s="39"/>
      <c r="K515" s="39"/>
      <c r="L515" s="39"/>
      <c r="M515" s="39"/>
      <c r="N515" s="40"/>
      <c r="O515" s="40"/>
    </row>
    <row r="516" spans="1:15">
      <c r="A516" s="28" t="s">
        <v>831</v>
      </c>
      <c r="B516" s="37">
        <v>0.027</v>
      </c>
      <c r="C516" s="37">
        <v>0.027</v>
      </c>
      <c r="D516" s="37">
        <v>0.547</v>
      </c>
      <c r="E516" s="37">
        <v>0.544</v>
      </c>
      <c r="F516">
        <v>0.0341</v>
      </c>
      <c r="G516">
        <v>5.8281</v>
      </c>
      <c r="I516" s="38"/>
      <c r="J516" s="39"/>
      <c r="K516" s="39"/>
      <c r="L516" s="39"/>
      <c r="M516" s="39"/>
      <c r="N516" s="40"/>
      <c r="O516" s="40"/>
    </row>
    <row r="517" spans="1:15">
      <c r="A517" s="28" t="s">
        <v>832</v>
      </c>
      <c r="B517" s="37">
        <v>0.027</v>
      </c>
      <c r="C517" s="37">
        <v>0.027</v>
      </c>
      <c r="D517" s="37">
        <v>0.557</v>
      </c>
      <c r="E517" s="37">
        <v>0.545</v>
      </c>
      <c r="F517">
        <v>0.0343</v>
      </c>
      <c r="G517">
        <v>5.8554</v>
      </c>
      <c r="I517" s="38"/>
      <c r="J517" s="39"/>
      <c r="K517" s="39"/>
      <c r="L517" s="39"/>
      <c r="M517" s="39"/>
      <c r="N517" s="40"/>
      <c r="O517" s="40"/>
    </row>
    <row r="518" spans="1:15">
      <c r="A518" s="28" t="s">
        <v>833</v>
      </c>
      <c r="B518" s="37">
        <v>0.027</v>
      </c>
      <c r="C518" s="37">
        <v>0.032</v>
      </c>
      <c r="D518" s="37">
        <v>0.548</v>
      </c>
      <c r="E518" s="37">
        <v>0.648</v>
      </c>
      <c r="F518">
        <v>0.0343</v>
      </c>
      <c r="G518">
        <v>5.9388</v>
      </c>
      <c r="I518" s="38"/>
      <c r="J518" s="39"/>
      <c r="K518" s="39"/>
      <c r="L518" s="39"/>
      <c r="M518" s="39"/>
      <c r="N518" s="40"/>
      <c r="O518" s="40"/>
    </row>
    <row r="519" spans="1:15">
      <c r="A519" s="28" t="s">
        <v>834</v>
      </c>
      <c r="B519" s="37">
        <v>0.029</v>
      </c>
      <c r="C519" s="37">
        <v>0.029</v>
      </c>
      <c r="D519" s="37">
        <v>0.578</v>
      </c>
      <c r="E519" s="37">
        <v>0.574</v>
      </c>
      <c r="F519">
        <v>0.0342</v>
      </c>
      <c r="G519">
        <v>6.0268</v>
      </c>
      <c r="I519" s="38"/>
      <c r="J519" s="39"/>
      <c r="K519" s="39"/>
      <c r="L519" s="39"/>
      <c r="M519" s="39"/>
      <c r="N519" s="40"/>
      <c r="O519" s="40"/>
    </row>
    <row r="520" spans="1:15">
      <c r="A520" s="28" t="s">
        <v>835</v>
      </c>
      <c r="B520" s="37">
        <v>0.031</v>
      </c>
      <c r="C520" s="37">
        <v>0.037</v>
      </c>
      <c r="D520" s="37">
        <v>0.628</v>
      </c>
      <c r="E520" s="37">
        <v>0.74</v>
      </c>
      <c r="F520">
        <v>0.0343</v>
      </c>
      <c r="G520">
        <v>6.054</v>
      </c>
      <c r="I520" s="38"/>
      <c r="J520" s="39"/>
      <c r="K520" s="39"/>
      <c r="L520" s="39"/>
      <c r="M520" s="39"/>
      <c r="N520" s="40"/>
      <c r="O520" s="40"/>
    </row>
    <row r="521" spans="1:15">
      <c r="A521" s="28" t="s">
        <v>836</v>
      </c>
      <c r="B521" s="37">
        <v>0.031</v>
      </c>
      <c r="C521" s="37">
        <v>0.047</v>
      </c>
      <c r="D521" s="37">
        <v>0.616</v>
      </c>
      <c r="E521" s="37">
        <v>0.926</v>
      </c>
      <c r="F521">
        <v>0.0345</v>
      </c>
      <c r="G521">
        <v>6.073</v>
      </c>
      <c r="I521" s="38"/>
      <c r="J521" s="39"/>
      <c r="K521" s="39"/>
      <c r="L521" s="39"/>
      <c r="M521" s="39"/>
      <c r="N521" s="40"/>
      <c r="O521" s="40"/>
    </row>
    <row r="522" spans="1:15">
      <c r="A522" s="28" t="s">
        <v>837</v>
      </c>
      <c r="B522" s="37">
        <v>0.03</v>
      </c>
      <c r="C522" s="37">
        <v>0.04</v>
      </c>
      <c r="D522" s="37">
        <v>0.609</v>
      </c>
      <c r="E522" s="37">
        <v>0.796</v>
      </c>
      <c r="F522">
        <v>0.0347</v>
      </c>
      <c r="G522">
        <v>6.1016</v>
      </c>
      <c r="I522" s="38"/>
      <c r="J522" s="39"/>
      <c r="K522" s="39"/>
      <c r="L522" s="39"/>
      <c r="M522" s="39"/>
      <c r="N522" s="40"/>
      <c r="O522" s="40"/>
    </row>
    <row r="523" spans="1:15">
      <c r="A523" s="28" t="s">
        <v>838</v>
      </c>
      <c r="B523" s="37">
        <v>0.033</v>
      </c>
      <c r="C523" s="37">
        <v>0.04</v>
      </c>
      <c r="D523" s="37">
        <v>0.667</v>
      </c>
      <c r="E523" s="37">
        <v>0.787</v>
      </c>
      <c r="F523">
        <v>0.0347</v>
      </c>
      <c r="G523">
        <v>6.1939</v>
      </c>
      <c r="I523" s="38"/>
      <c r="J523" s="39"/>
      <c r="K523" s="39"/>
      <c r="L523" s="39"/>
      <c r="M523" s="39"/>
      <c r="N523" s="40"/>
      <c r="O523" s="40"/>
    </row>
    <row r="524" spans="1:15">
      <c r="A524" s="28" t="s">
        <v>839</v>
      </c>
      <c r="B524" s="37">
        <v>0.035</v>
      </c>
      <c r="C524" s="37">
        <v>0.056</v>
      </c>
      <c r="D524" s="37">
        <v>0.707</v>
      </c>
      <c r="E524" s="37">
        <v>1.099</v>
      </c>
      <c r="F524">
        <v>0.035</v>
      </c>
      <c r="G524">
        <v>6.2814</v>
      </c>
      <c r="I524" s="38"/>
      <c r="J524" s="39"/>
      <c r="K524" s="39"/>
      <c r="L524" s="39"/>
      <c r="M524" s="39"/>
      <c r="N524" s="40"/>
      <c r="O524" s="40"/>
    </row>
    <row r="525" spans="1:15">
      <c r="A525" s="28" t="s">
        <v>840</v>
      </c>
      <c r="B525" s="37">
        <v>0.033</v>
      </c>
      <c r="C525" s="37">
        <v>0.056</v>
      </c>
      <c r="D525" s="37">
        <v>0.655</v>
      </c>
      <c r="E525" s="37">
        <v>1.093</v>
      </c>
      <c r="F525">
        <v>0.0351</v>
      </c>
      <c r="G525">
        <v>6.2184</v>
      </c>
      <c r="I525" s="38"/>
      <c r="J525" s="39"/>
      <c r="K525" s="39"/>
      <c r="L525" s="39"/>
      <c r="M525" s="39"/>
      <c r="N525" s="40"/>
      <c r="O525" s="40"/>
    </row>
    <row r="526" spans="1:15">
      <c r="A526" s="28" t="s">
        <v>841</v>
      </c>
      <c r="B526" s="37">
        <v>0.032</v>
      </c>
      <c r="C526" s="37">
        <v>0.063</v>
      </c>
      <c r="D526" s="37">
        <v>0.63</v>
      </c>
      <c r="E526" s="37">
        <v>1.206</v>
      </c>
      <c r="F526">
        <v>0.035</v>
      </c>
      <c r="G526">
        <v>6.2085</v>
      </c>
      <c r="I526" s="38"/>
      <c r="J526" s="39"/>
      <c r="K526" s="39"/>
      <c r="L526" s="39"/>
      <c r="M526" s="39"/>
      <c r="N526" s="40"/>
      <c r="O526" s="40"/>
    </row>
    <row r="527" spans="1:15">
      <c r="A527" s="28" t="s">
        <v>842</v>
      </c>
      <c r="B527" s="37">
        <v>0.033</v>
      </c>
      <c r="C527" s="37">
        <v>0.067</v>
      </c>
      <c r="D527" s="37">
        <v>0.642</v>
      </c>
      <c r="E527" s="37">
        <v>1.278</v>
      </c>
      <c r="F527">
        <v>0.0351</v>
      </c>
      <c r="G527">
        <v>6.186</v>
      </c>
      <c r="I527" s="38"/>
      <c r="J527" s="39"/>
      <c r="K527" s="39"/>
      <c r="L527" s="39"/>
      <c r="M527" s="39"/>
      <c r="N527" s="40"/>
      <c r="O527" s="40"/>
    </row>
    <row r="528" spans="1:15">
      <c r="A528" s="28" t="s">
        <v>843</v>
      </c>
      <c r="B528" s="37">
        <v>0.034</v>
      </c>
      <c r="C528" s="37">
        <v>0.066</v>
      </c>
      <c r="D528" s="37">
        <v>0.661</v>
      </c>
      <c r="E528" s="37">
        <v>1.252</v>
      </c>
      <c r="F528">
        <v>0.0351</v>
      </c>
      <c r="G528">
        <v>6.2169</v>
      </c>
      <c r="I528" s="38"/>
      <c r="J528" s="39"/>
      <c r="K528" s="39"/>
      <c r="L528" s="39"/>
      <c r="M528" s="39"/>
      <c r="N528" s="40"/>
      <c r="O528" s="40"/>
    </row>
    <row r="529" spans="1:15">
      <c r="A529" s="28" t="s">
        <v>844</v>
      </c>
      <c r="B529" s="37">
        <v>0.035</v>
      </c>
      <c r="C529" s="37">
        <v>0.067</v>
      </c>
      <c r="D529" s="37">
        <v>0.69</v>
      </c>
      <c r="E529" s="37">
        <v>1.28</v>
      </c>
      <c r="F529">
        <v>0.0351</v>
      </c>
      <c r="G529">
        <v>6.2462</v>
      </c>
      <c r="I529" s="38"/>
      <c r="J529" s="39"/>
      <c r="K529" s="39"/>
      <c r="L529" s="39"/>
      <c r="M529" s="39"/>
      <c r="N529" s="40"/>
      <c r="O529" s="40"/>
    </row>
    <row r="530" spans="1:15">
      <c r="A530" s="28" t="s">
        <v>845</v>
      </c>
      <c r="B530" s="37">
        <v>0.037</v>
      </c>
      <c r="C530" s="37">
        <v>0.067</v>
      </c>
      <c r="D530" s="37">
        <v>0.716</v>
      </c>
      <c r="E530" s="37">
        <v>1.255</v>
      </c>
      <c r="F530">
        <v>0.0351</v>
      </c>
      <c r="G530">
        <v>6.2974</v>
      </c>
      <c r="I530" s="38"/>
      <c r="J530" s="39"/>
      <c r="K530" s="39"/>
      <c r="L530" s="39"/>
      <c r="M530" s="39"/>
      <c r="N530" s="40"/>
      <c r="O530" s="40"/>
    </row>
    <row r="531" spans="1:15">
      <c r="A531" s="28" t="s">
        <v>846</v>
      </c>
      <c r="B531" s="37">
        <v>0.036</v>
      </c>
      <c r="C531" s="37">
        <v>0.067</v>
      </c>
      <c r="D531" s="37">
        <v>0.693</v>
      </c>
      <c r="E531" s="37">
        <v>1.251</v>
      </c>
      <c r="F531">
        <v>0.0351</v>
      </c>
      <c r="G531">
        <v>6.3125</v>
      </c>
      <c r="I531" s="38"/>
      <c r="J531" s="39"/>
      <c r="K531" s="39"/>
      <c r="L531" s="39"/>
      <c r="M531" s="39"/>
      <c r="N531" s="40"/>
      <c r="O531" s="40"/>
    </row>
    <row r="532" spans="1:15">
      <c r="A532" s="28" t="s">
        <v>847</v>
      </c>
      <c r="B532" s="37">
        <v>0.039</v>
      </c>
      <c r="C532" s="37">
        <v>0.058</v>
      </c>
      <c r="D532" s="37">
        <v>0.75</v>
      </c>
      <c r="E532" s="37">
        <v>1.064</v>
      </c>
      <c r="F532">
        <v>0.0355</v>
      </c>
      <c r="G532">
        <v>6.3557</v>
      </c>
      <c r="I532" s="38"/>
      <c r="J532" s="39"/>
      <c r="K532" s="39"/>
      <c r="L532" s="39"/>
      <c r="M532" s="39"/>
      <c r="N532" s="40"/>
      <c r="O532" s="40"/>
    </row>
    <row r="533" spans="1:15">
      <c r="A533" s="28" t="s">
        <v>848</v>
      </c>
      <c r="B533" s="37">
        <v>0.039</v>
      </c>
      <c r="C533" s="37">
        <v>0.059</v>
      </c>
      <c r="D533" s="37">
        <v>0.747</v>
      </c>
      <c r="E533" s="37">
        <v>1.089</v>
      </c>
      <c r="F533">
        <v>0.0356</v>
      </c>
      <c r="G533">
        <v>6.4107</v>
      </c>
      <c r="I533" s="38"/>
      <c r="J533" s="39"/>
      <c r="K533" s="39"/>
      <c r="L533" s="39"/>
      <c r="M533" s="39"/>
      <c r="N533" s="40"/>
      <c r="O533" s="40"/>
    </row>
    <row r="534" spans="1:15">
      <c r="A534" s="28" t="s">
        <v>849</v>
      </c>
      <c r="B534" s="37">
        <v>0.039</v>
      </c>
      <c r="C534" s="37">
        <v>0.061</v>
      </c>
      <c r="D534" s="37">
        <v>0.738</v>
      </c>
      <c r="E534" s="37">
        <v>1.119</v>
      </c>
      <c r="F534">
        <v>0.0357</v>
      </c>
      <c r="G534">
        <v>6.473</v>
      </c>
      <c r="I534" s="38"/>
      <c r="J534" s="39"/>
      <c r="K534" s="39"/>
      <c r="L534" s="39"/>
      <c r="M534" s="39"/>
      <c r="N534" s="40"/>
      <c r="O534" s="40"/>
    </row>
    <row r="535" spans="1:15">
      <c r="A535" s="28" t="s">
        <v>850</v>
      </c>
      <c r="B535" s="37">
        <v>0.042</v>
      </c>
      <c r="C535" s="37">
        <v>0.067</v>
      </c>
      <c r="D535" s="37">
        <v>0.795</v>
      </c>
      <c r="E535" s="37">
        <v>1.233</v>
      </c>
      <c r="F535">
        <v>0.0358</v>
      </c>
      <c r="G535">
        <v>6.5242</v>
      </c>
      <c r="I535" s="38"/>
      <c r="J535" s="39"/>
      <c r="K535" s="39"/>
      <c r="L535" s="39"/>
      <c r="M535" s="39"/>
      <c r="N535" s="40"/>
      <c r="O535" s="40"/>
    </row>
    <row r="536" spans="1:15">
      <c r="A536" s="28" t="s">
        <v>851</v>
      </c>
      <c r="B536" s="37">
        <v>0.041</v>
      </c>
      <c r="C536" s="37">
        <v>0.078</v>
      </c>
      <c r="D536" s="37">
        <v>0.78</v>
      </c>
      <c r="E536" s="37">
        <v>1.424</v>
      </c>
      <c r="F536">
        <v>0.0359</v>
      </c>
      <c r="G536">
        <v>6.5976</v>
      </c>
      <c r="I536" s="38"/>
      <c r="J536" s="39"/>
      <c r="K536" s="39"/>
      <c r="L536" s="39"/>
      <c r="M536" s="39"/>
      <c r="N536" s="40"/>
      <c r="O536" s="40"/>
    </row>
    <row r="537" spans="1:15">
      <c r="A537" s="28" t="s">
        <v>852</v>
      </c>
      <c r="B537" s="37">
        <v>0.043</v>
      </c>
      <c r="C537" s="37">
        <v>0.068</v>
      </c>
      <c r="D537" s="37">
        <v>0.81</v>
      </c>
      <c r="E537" s="37">
        <v>1.249</v>
      </c>
      <c r="F537">
        <v>0.0362</v>
      </c>
      <c r="G537">
        <v>6.6225</v>
      </c>
      <c r="I537" s="38"/>
      <c r="J537" s="39"/>
      <c r="K537" s="39"/>
      <c r="L537" s="39"/>
      <c r="M537" s="39"/>
      <c r="N537" s="40"/>
      <c r="O537" s="40"/>
    </row>
    <row r="538" spans="1:15">
      <c r="A538" s="28" t="s">
        <v>853</v>
      </c>
      <c r="B538" s="37">
        <v>0.04</v>
      </c>
      <c r="C538" s="37">
        <v>0.054</v>
      </c>
      <c r="D538" s="37">
        <v>0.752</v>
      </c>
      <c r="E538" s="37">
        <v>0.98</v>
      </c>
      <c r="F538">
        <v>0.0362</v>
      </c>
      <c r="G538">
        <v>6.6297</v>
      </c>
      <c r="I538" s="38"/>
      <c r="J538" s="39"/>
      <c r="K538" s="39"/>
      <c r="L538" s="39"/>
      <c r="M538" s="39"/>
      <c r="N538" s="40"/>
      <c r="O538" s="40"/>
    </row>
    <row r="539" spans="1:15">
      <c r="A539" s="28" t="s">
        <v>854</v>
      </c>
      <c r="B539" s="37">
        <v>0.043</v>
      </c>
      <c r="C539" s="37">
        <v>0.056</v>
      </c>
      <c r="D539" s="37">
        <v>0.795</v>
      </c>
      <c r="E539" s="37">
        <v>1.019</v>
      </c>
      <c r="F539">
        <v>0.0363</v>
      </c>
      <c r="G539">
        <v>6.6518</v>
      </c>
      <c r="I539" s="38"/>
      <c r="J539" s="39"/>
      <c r="K539" s="39"/>
      <c r="L539" s="39"/>
      <c r="M539" s="39"/>
      <c r="N539" s="40"/>
      <c r="O539" s="40"/>
    </row>
    <row r="540" spans="1:15">
      <c r="A540" s="28" t="s">
        <v>855</v>
      </c>
      <c r="B540" s="37">
        <v>0.043</v>
      </c>
      <c r="C540" s="37">
        <v>0.059</v>
      </c>
      <c r="D540" s="37">
        <v>0.795</v>
      </c>
      <c r="E540" s="37">
        <v>1.082</v>
      </c>
      <c r="F540">
        <v>0.0367</v>
      </c>
      <c r="G540">
        <v>6.6714</v>
      </c>
      <c r="I540" s="38"/>
      <c r="J540" s="39"/>
      <c r="K540" s="39"/>
      <c r="L540" s="39"/>
      <c r="M540" s="39"/>
      <c r="N540" s="40"/>
      <c r="O540" s="40"/>
    </row>
    <row r="541" spans="1:15">
      <c r="A541" s="28" t="s">
        <v>856</v>
      </c>
      <c r="B541" s="37">
        <v>0.046</v>
      </c>
      <c r="C541" s="37">
        <v>0.06</v>
      </c>
      <c r="D541" s="37">
        <v>0.844</v>
      </c>
      <c r="E541" s="37">
        <v>1.079</v>
      </c>
      <c r="F541">
        <v>0.0365</v>
      </c>
      <c r="G541">
        <v>6.6923</v>
      </c>
      <c r="I541" s="38"/>
      <c r="J541" s="39"/>
      <c r="K541" s="39"/>
      <c r="L541" s="39"/>
      <c r="M541" s="39"/>
      <c r="N541" s="40"/>
      <c r="O541" s="40"/>
    </row>
    <row r="542" spans="1:15">
      <c r="A542" s="28" t="s">
        <v>857</v>
      </c>
      <c r="B542" s="37">
        <v>0.044</v>
      </c>
      <c r="C542" s="37">
        <v>0.06</v>
      </c>
      <c r="D542" s="37">
        <v>0.811</v>
      </c>
      <c r="E542" s="37">
        <v>1.068</v>
      </c>
      <c r="F542">
        <v>0.0365</v>
      </c>
      <c r="G542">
        <v>6.6861</v>
      </c>
      <c r="I542" s="38"/>
      <c r="J542" s="39"/>
      <c r="K542" s="39"/>
      <c r="L542" s="39"/>
      <c r="M542" s="39"/>
      <c r="N542" s="40"/>
      <c r="O542" s="40"/>
    </row>
    <row r="543" spans="1:15">
      <c r="A543" s="28" t="s">
        <v>858</v>
      </c>
      <c r="B543" s="37">
        <v>0.043</v>
      </c>
      <c r="C543" s="37">
        <v>0.054</v>
      </c>
      <c r="D543" s="37">
        <v>0.799</v>
      </c>
      <c r="E543" s="37">
        <v>0.962</v>
      </c>
      <c r="F543">
        <v>0.0367</v>
      </c>
      <c r="G543">
        <v>6.641</v>
      </c>
      <c r="I543" s="38"/>
      <c r="J543" s="39"/>
      <c r="K543" s="39"/>
      <c r="L543" s="39"/>
      <c r="M543" s="39"/>
      <c r="N543" s="40"/>
      <c r="O543" s="40"/>
    </row>
    <row r="544" spans="1:15">
      <c r="A544" s="28" t="s">
        <v>859</v>
      </c>
      <c r="B544" s="37">
        <v>0.044</v>
      </c>
      <c r="C544" s="37">
        <v>0.054</v>
      </c>
      <c r="D544" s="37">
        <v>0.805</v>
      </c>
      <c r="E544" s="37">
        <v>0.959</v>
      </c>
      <c r="F544">
        <v>0.0367</v>
      </c>
      <c r="G544">
        <v>6.6311</v>
      </c>
      <c r="I544" s="38"/>
      <c r="J544" s="39"/>
      <c r="K544" s="39"/>
      <c r="L544" s="39"/>
      <c r="M544" s="39"/>
      <c r="N544" s="40"/>
      <c r="O544" s="40"/>
    </row>
    <row r="545" spans="1:15">
      <c r="A545" s="28" t="s">
        <v>860</v>
      </c>
      <c r="B545" s="37">
        <v>0.043</v>
      </c>
      <c r="C545" s="37">
        <v>0.044</v>
      </c>
      <c r="D545" s="37">
        <v>0.781</v>
      </c>
      <c r="E545" s="37">
        <v>0.776</v>
      </c>
      <c r="F545">
        <v>0.0371</v>
      </c>
      <c r="G545">
        <v>6.5919</v>
      </c>
      <c r="I545" s="38"/>
      <c r="J545" s="39"/>
      <c r="K545" s="39"/>
      <c r="L545" s="39"/>
      <c r="M545" s="39"/>
      <c r="N545" s="40"/>
      <c r="O545" s="40"/>
    </row>
    <row r="546" spans="1:15">
      <c r="A546" s="28" t="s">
        <v>861</v>
      </c>
      <c r="B546" s="37">
        <v>0.041</v>
      </c>
      <c r="C546" s="37">
        <v>0.06</v>
      </c>
      <c r="D546" s="37">
        <v>0.755</v>
      </c>
      <c r="E546" s="37">
        <v>1.047</v>
      </c>
      <c r="F546">
        <v>0.0373</v>
      </c>
      <c r="G546">
        <v>6.5567</v>
      </c>
      <c r="I546" s="38"/>
      <c r="J546" s="39"/>
      <c r="K546" s="39"/>
      <c r="L546" s="39"/>
      <c r="M546" s="39"/>
      <c r="N546" s="40"/>
      <c r="O546" s="40"/>
    </row>
    <row r="547" spans="1:15">
      <c r="A547" s="28" t="s">
        <v>862</v>
      </c>
      <c r="B547" s="37">
        <v>0.039</v>
      </c>
      <c r="C547" s="37">
        <v>0.06</v>
      </c>
      <c r="D547" s="37">
        <v>0.71</v>
      </c>
      <c r="E547" s="37">
        <v>1.042</v>
      </c>
      <c r="F547">
        <v>0.0374</v>
      </c>
      <c r="G547">
        <v>6.6057</v>
      </c>
      <c r="I547" s="38"/>
      <c r="J547" s="39"/>
      <c r="K547" s="39"/>
      <c r="L547" s="39"/>
      <c r="M547" s="39"/>
      <c r="N547" s="40"/>
      <c r="O547" s="40"/>
    </row>
    <row r="548" spans="1:15">
      <c r="A548" s="28" t="s">
        <v>863</v>
      </c>
      <c r="B548" s="37">
        <v>0.038</v>
      </c>
      <c r="C548" s="37">
        <v>0.058</v>
      </c>
      <c r="D548" s="37">
        <v>0.682</v>
      </c>
      <c r="E548" s="37">
        <v>0.998</v>
      </c>
      <c r="F548">
        <v>0.0375</v>
      </c>
      <c r="G548">
        <v>6.64</v>
      </c>
      <c r="I548" s="38"/>
      <c r="J548" s="39"/>
      <c r="K548" s="39"/>
      <c r="L548" s="39"/>
      <c r="M548" s="39"/>
      <c r="N548" s="40"/>
      <c r="O548" s="40"/>
    </row>
    <row r="549" spans="1:15">
      <c r="A549" s="28" t="s">
        <v>864</v>
      </c>
      <c r="B549" s="37">
        <v>0.037</v>
      </c>
      <c r="C549" s="37">
        <v>0.036</v>
      </c>
      <c r="D549" s="37">
        <v>0.666</v>
      </c>
      <c r="E549" s="37">
        <v>0.622</v>
      </c>
      <c r="F549">
        <v>0.0379</v>
      </c>
      <c r="G549">
        <v>6.6699</v>
      </c>
      <c r="I549" s="38"/>
      <c r="J549" s="39"/>
      <c r="K549" s="39"/>
      <c r="L549" s="39"/>
      <c r="M549" s="39"/>
      <c r="N549" s="40"/>
      <c r="O549" s="40"/>
    </row>
    <row r="550" spans="1:15">
      <c r="A550" s="28" t="s">
        <v>865</v>
      </c>
      <c r="B550" s="37">
        <v>0.036</v>
      </c>
      <c r="C550" s="37">
        <v>0.036</v>
      </c>
      <c r="D550" s="37">
        <v>0.642</v>
      </c>
      <c r="E550" s="37">
        <v>0.619</v>
      </c>
      <c r="F550">
        <v>0.0379</v>
      </c>
      <c r="G550">
        <v>6.6317</v>
      </c>
      <c r="I550" s="38"/>
      <c r="J550" s="39"/>
      <c r="K550" s="39"/>
      <c r="L550" s="39"/>
      <c r="M550" s="39"/>
      <c r="N550" s="40"/>
      <c r="O550" s="40"/>
    </row>
    <row r="551" spans="1:15">
      <c r="A551" s="28" t="s">
        <v>866</v>
      </c>
      <c r="B551" s="37">
        <v>0.035</v>
      </c>
      <c r="C551" s="37">
        <v>0.037</v>
      </c>
      <c r="D551" s="37">
        <v>0.625</v>
      </c>
      <c r="E551" s="37">
        <v>0.643</v>
      </c>
      <c r="F551">
        <v>0.0382</v>
      </c>
      <c r="G551">
        <v>6.6496</v>
      </c>
      <c r="I551" s="38"/>
      <c r="J551" s="39"/>
      <c r="K551" s="39"/>
      <c r="L551" s="39"/>
      <c r="M551" s="39"/>
      <c r="N551" s="40"/>
      <c r="O551" s="40"/>
    </row>
    <row r="552" spans="1:15">
      <c r="A552" s="28" t="s">
        <v>867</v>
      </c>
      <c r="B552" s="37">
        <v>0.035</v>
      </c>
      <c r="C552" s="37">
        <v>0.031</v>
      </c>
      <c r="D552" s="37">
        <v>0.623</v>
      </c>
      <c r="E552" s="37">
        <v>0.534</v>
      </c>
      <c r="F552">
        <v>0.0381</v>
      </c>
      <c r="G552">
        <v>6.6906</v>
      </c>
      <c r="I552" s="38"/>
      <c r="J552" s="39"/>
      <c r="K552" s="39"/>
      <c r="L552" s="39"/>
      <c r="M552" s="39"/>
      <c r="N552" s="40"/>
      <c r="O552" s="40"/>
    </row>
    <row r="553" spans="1:15">
      <c r="A553" s="28" t="s">
        <v>868</v>
      </c>
      <c r="B553" s="37">
        <v>0.034</v>
      </c>
      <c r="C553" s="37">
        <v>0.035</v>
      </c>
      <c r="D553" s="37">
        <v>0.6</v>
      </c>
      <c r="E553" s="37">
        <v>0.592</v>
      </c>
      <c r="F553">
        <v>0.0383</v>
      </c>
      <c r="G553">
        <v>6.7126</v>
      </c>
      <c r="I553" s="38"/>
      <c r="J553" s="39"/>
      <c r="K553" s="39"/>
      <c r="L553" s="39"/>
      <c r="M553" s="39"/>
      <c r="N553" s="40"/>
      <c r="O553" s="40"/>
    </row>
    <row r="554" spans="1:15">
      <c r="A554" s="28" t="s">
        <v>869</v>
      </c>
      <c r="B554" s="37">
        <v>0.034</v>
      </c>
      <c r="C554" s="37">
        <v>0.033</v>
      </c>
      <c r="D554" s="37">
        <v>0.608</v>
      </c>
      <c r="E554" s="37">
        <v>0.561</v>
      </c>
      <c r="F554">
        <v>0.0384</v>
      </c>
      <c r="G554">
        <v>6.7368</v>
      </c>
      <c r="I554" s="38"/>
      <c r="J554" s="39"/>
      <c r="K554" s="39"/>
      <c r="L554" s="39"/>
      <c r="M554" s="39"/>
      <c r="N554" s="40"/>
      <c r="O554" s="40"/>
    </row>
    <row r="555" spans="1:15">
      <c r="A555" s="28" t="s">
        <v>870</v>
      </c>
      <c r="B555" s="37">
        <v>0.033</v>
      </c>
      <c r="C555" s="37">
        <v>0.033</v>
      </c>
      <c r="D555" s="37">
        <v>0.588</v>
      </c>
      <c r="E555" s="37">
        <v>0.557</v>
      </c>
      <c r="F555">
        <v>0.0383</v>
      </c>
      <c r="G555">
        <v>6.7637</v>
      </c>
      <c r="I555" s="38"/>
      <c r="J555" s="39"/>
      <c r="K555" s="39"/>
      <c r="L555" s="39"/>
      <c r="M555" s="39"/>
      <c r="N555" s="40"/>
      <c r="O555" s="40"/>
    </row>
    <row r="556" spans="1:15">
      <c r="A556" s="28" t="s">
        <v>871</v>
      </c>
      <c r="B556" s="37">
        <v>0.035</v>
      </c>
      <c r="C556" s="37">
        <v>0.042</v>
      </c>
      <c r="D556" s="37">
        <v>0.609</v>
      </c>
      <c r="E556" s="37">
        <v>0.708</v>
      </c>
      <c r="F556">
        <v>0.0383</v>
      </c>
      <c r="G556">
        <v>6.8173</v>
      </c>
      <c r="I556" s="38"/>
      <c r="J556" s="39"/>
      <c r="K556" s="39"/>
      <c r="L556" s="39"/>
      <c r="M556" s="39"/>
      <c r="N556" s="40"/>
      <c r="O556" s="40"/>
    </row>
    <row r="557" spans="1:15">
      <c r="A557" s="28" t="s">
        <v>872</v>
      </c>
      <c r="B557" s="37">
        <v>0.038</v>
      </c>
      <c r="C557" s="37">
        <v>0.042</v>
      </c>
      <c r="D557" s="37">
        <v>0.657</v>
      </c>
      <c r="E557" s="37">
        <v>0.708</v>
      </c>
      <c r="F557">
        <v>0.0385</v>
      </c>
      <c r="G557">
        <v>6.8844</v>
      </c>
      <c r="I557" s="38"/>
      <c r="J557" s="39"/>
      <c r="K557" s="39"/>
      <c r="L557" s="39"/>
      <c r="M557" s="39"/>
      <c r="N557" s="40"/>
      <c r="O557" s="40"/>
    </row>
    <row r="558" spans="1:15">
      <c r="A558" s="28" t="s">
        <v>873</v>
      </c>
      <c r="B558" s="37">
        <v>0.038</v>
      </c>
      <c r="C558" s="37">
        <v>0.04</v>
      </c>
      <c r="D558" s="37">
        <v>0.656</v>
      </c>
      <c r="E558" s="37">
        <v>0.666</v>
      </c>
      <c r="F558">
        <v>0.0385</v>
      </c>
      <c r="G558">
        <v>6.9053</v>
      </c>
      <c r="I558" s="38"/>
      <c r="J558" s="39"/>
      <c r="K558" s="39"/>
      <c r="L558" s="39"/>
      <c r="M558" s="39"/>
      <c r="N558" s="40"/>
      <c r="O558" s="40"/>
    </row>
    <row r="559" spans="1:15">
      <c r="A559" s="28" t="s">
        <v>874</v>
      </c>
      <c r="B559" s="37">
        <v>0.038</v>
      </c>
      <c r="C559" s="37">
        <v>0.049</v>
      </c>
      <c r="D559" s="37">
        <v>0.655</v>
      </c>
      <c r="E559" s="37">
        <v>0.819</v>
      </c>
      <c r="F559">
        <v>0.0386</v>
      </c>
      <c r="G559">
        <v>6.9134</v>
      </c>
      <c r="I559" s="38"/>
      <c r="J559" s="39"/>
      <c r="K559" s="39"/>
      <c r="L559" s="39"/>
      <c r="M559" s="39"/>
      <c r="N559" s="40"/>
      <c r="O559" s="40"/>
    </row>
    <row r="560" spans="1:15">
      <c r="A560" s="28" t="s">
        <v>875</v>
      </c>
      <c r="B560" s="37">
        <v>0.038</v>
      </c>
      <c r="C560" s="37">
        <v>0.048</v>
      </c>
      <c r="D560" s="37">
        <v>0.66</v>
      </c>
      <c r="E560" s="37">
        <v>0.785</v>
      </c>
      <c r="F560">
        <v>0.0385</v>
      </c>
      <c r="G560">
        <v>6.9148</v>
      </c>
      <c r="I560" s="38"/>
      <c r="J560" s="39"/>
      <c r="K560" s="39"/>
      <c r="L560" s="39"/>
      <c r="M560" s="39"/>
      <c r="N560" s="40"/>
      <c r="O560" s="40"/>
    </row>
    <row r="561" spans="1:15">
      <c r="A561" s="28" t="s">
        <v>876</v>
      </c>
      <c r="B561" s="37">
        <v>0.037</v>
      </c>
      <c r="C561" s="37">
        <v>0.055</v>
      </c>
      <c r="D561" s="37">
        <v>0.637</v>
      </c>
      <c r="E561" s="37">
        <v>0.908</v>
      </c>
      <c r="F561">
        <v>0.0389</v>
      </c>
      <c r="G561">
        <v>6.9494</v>
      </c>
      <c r="I561" s="38"/>
      <c r="J561" s="39"/>
      <c r="K561" s="39"/>
      <c r="L561" s="39"/>
      <c r="M561" s="39"/>
      <c r="N561" s="40"/>
      <c r="O561" s="40"/>
    </row>
    <row r="562" spans="1:15">
      <c r="A562" s="28" t="s">
        <v>877</v>
      </c>
      <c r="B562" s="37">
        <v>0.037</v>
      </c>
      <c r="C562" s="37">
        <v>0.057</v>
      </c>
      <c r="D562" s="37">
        <v>0.633</v>
      </c>
      <c r="E562" s="37">
        <v>0.926</v>
      </c>
      <c r="F562">
        <v>0.039</v>
      </c>
      <c r="G562">
        <v>6.9771</v>
      </c>
      <c r="I562" s="38"/>
      <c r="J562" s="39"/>
      <c r="K562" s="39"/>
      <c r="L562" s="39"/>
      <c r="M562" s="39"/>
      <c r="N562" s="40"/>
      <c r="O562" s="40"/>
    </row>
    <row r="563" spans="1:15">
      <c r="A563" s="28" t="s">
        <v>878</v>
      </c>
      <c r="B563" s="37">
        <v>0.039</v>
      </c>
      <c r="C563" s="37">
        <v>0.049</v>
      </c>
      <c r="D563" s="37">
        <v>0.663</v>
      </c>
      <c r="E563" s="37">
        <v>0.791</v>
      </c>
      <c r="F563">
        <v>0.0393</v>
      </c>
      <c r="G563">
        <v>7.0862</v>
      </c>
      <c r="I563" s="38"/>
      <c r="J563" s="39"/>
      <c r="K563" s="39"/>
      <c r="L563" s="39"/>
      <c r="M563" s="39"/>
      <c r="N563" s="40"/>
      <c r="O563" s="40"/>
    </row>
    <row r="564" spans="1:15">
      <c r="A564" s="28" t="s">
        <v>879</v>
      </c>
      <c r="B564" s="37">
        <v>0.042</v>
      </c>
      <c r="C564" s="37">
        <v>0.055</v>
      </c>
      <c r="D564" s="37">
        <v>0.714</v>
      </c>
      <c r="E564" s="37">
        <v>0.882</v>
      </c>
      <c r="F564">
        <v>0.0397</v>
      </c>
      <c r="G564">
        <v>7.0628</v>
      </c>
      <c r="I564" s="38"/>
      <c r="J564" s="39"/>
      <c r="K564" s="39"/>
      <c r="L564" s="39"/>
      <c r="M564" s="39"/>
      <c r="N564" s="40"/>
      <c r="O564" s="40"/>
    </row>
    <row r="565" spans="1:15">
      <c r="A565" s="28" t="s">
        <v>880</v>
      </c>
      <c r="B565" s="37">
        <v>0.043</v>
      </c>
      <c r="C565" s="37">
        <v>0.056</v>
      </c>
      <c r="D565" s="37">
        <v>0.73</v>
      </c>
      <c r="E565" s="37">
        <v>0.891</v>
      </c>
      <c r="F565">
        <v>0.0398</v>
      </c>
      <c r="G565">
        <v>7.1246</v>
      </c>
      <c r="I565" s="38"/>
      <c r="J565" s="39"/>
      <c r="K565" s="39"/>
      <c r="L565" s="39"/>
      <c r="M565" s="39"/>
      <c r="N565" s="40"/>
      <c r="O565" s="40"/>
    </row>
    <row r="566" spans="1:15">
      <c r="A566" s="28" t="s">
        <v>881</v>
      </c>
      <c r="B566" s="37">
        <v>0.047</v>
      </c>
      <c r="C566" s="37">
        <v>0.056</v>
      </c>
      <c r="D566" s="37">
        <v>0.79</v>
      </c>
      <c r="E566" s="37">
        <v>0.885</v>
      </c>
      <c r="F566">
        <v>0.0399</v>
      </c>
      <c r="G566">
        <v>7.1944</v>
      </c>
      <c r="I566" s="38"/>
      <c r="J566" s="39"/>
      <c r="K566" s="39"/>
      <c r="L566" s="39"/>
      <c r="M566" s="39"/>
      <c r="N566" s="40"/>
      <c r="O566" s="40"/>
    </row>
    <row r="567" spans="1:15">
      <c r="A567" s="28" t="s">
        <v>882</v>
      </c>
      <c r="B567" s="37">
        <v>0.045</v>
      </c>
      <c r="C567" s="37">
        <v>0.056</v>
      </c>
      <c r="D567" s="37">
        <v>0.755</v>
      </c>
      <c r="E567" s="37">
        <v>0.884</v>
      </c>
      <c r="F567">
        <v>0.0399</v>
      </c>
      <c r="G567">
        <v>7.1719</v>
      </c>
      <c r="I567" s="38"/>
      <c r="J567" s="39"/>
      <c r="K567" s="39"/>
      <c r="L567" s="39"/>
      <c r="M567" s="39"/>
      <c r="N567" s="40"/>
      <c r="O567" s="40"/>
    </row>
    <row r="568" spans="1:15">
      <c r="A568" s="28" t="s">
        <v>883</v>
      </c>
      <c r="B568" s="37">
        <v>0.045</v>
      </c>
      <c r="C568" s="37">
        <v>0.052</v>
      </c>
      <c r="D568" s="37">
        <v>0.757</v>
      </c>
      <c r="E568" s="37">
        <v>0.818</v>
      </c>
      <c r="F568">
        <v>0.0399</v>
      </c>
      <c r="G568">
        <v>7.1815</v>
      </c>
      <c r="I568" s="38"/>
      <c r="J568" s="39"/>
      <c r="K568" s="39"/>
      <c r="L568" s="39"/>
      <c r="M568" s="39"/>
      <c r="N568" s="40"/>
      <c r="O568" s="40"/>
    </row>
    <row r="569" spans="1:15">
      <c r="A569" s="28" t="s">
        <v>884</v>
      </c>
      <c r="B569" s="37">
        <v>0.048</v>
      </c>
      <c r="C569" s="37">
        <v>0.05</v>
      </c>
      <c r="D569" s="37">
        <v>0.796</v>
      </c>
      <c r="E569" s="37">
        <v>0.776</v>
      </c>
      <c r="F569">
        <v>0.0402</v>
      </c>
      <c r="G569">
        <v>7.2392</v>
      </c>
      <c r="I569" s="38"/>
      <c r="J569" s="39"/>
      <c r="K569" s="39"/>
      <c r="L569" s="39"/>
      <c r="M569" s="39"/>
      <c r="N569" s="40"/>
      <c r="O569" s="40"/>
    </row>
    <row r="570" spans="1:15">
      <c r="A570" s="28" t="s">
        <v>885</v>
      </c>
      <c r="B570" s="37">
        <v>0.047</v>
      </c>
      <c r="C570" s="37">
        <v>0.052</v>
      </c>
      <c r="D570" s="37">
        <v>0.792</v>
      </c>
      <c r="E570" s="37">
        <v>0.797</v>
      </c>
      <c r="F570">
        <v>0.0403</v>
      </c>
      <c r="G570">
        <v>7.2219</v>
      </c>
      <c r="I570" s="38"/>
      <c r="J570" s="39"/>
      <c r="K570" s="39"/>
      <c r="L570" s="39"/>
      <c r="M570" s="39"/>
      <c r="N570" s="40"/>
      <c r="O570" s="40"/>
    </row>
    <row r="571" spans="1:15">
      <c r="A571" s="28" t="s">
        <v>886</v>
      </c>
      <c r="B571" s="37">
        <v>0.048</v>
      </c>
      <c r="C571" s="37">
        <v>0.061</v>
      </c>
      <c r="D571" s="37">
        <v>0.793</v>
      </c>
      <c r="E571" s="37">
        <v>0.942</v>
      </c>
      <c r="F571">
        <v>0.0405</v>
      </c>
      <c r="G571">
        <v>7.1811</v>
      </c>
      <c r="I571" s="38"/>
      <c r="J571" s="39"/>
      <c r="K571" s="39"/>
      <c r="L571" s="39"/>
      <c r="M571" s="39"/>
      <c r="N571" s="40"/>
      <c r="O571" s="40"/>
    </row>
    <row r="572" spans="1:15">
      <c r="A572" s="28" t="s">
        <v>887</v>
      </c>
      <c r="B572" s="37">
        <v>0.047</v>
      </c>
      <c r="C572" s="37">
        <v>0.057</v>
      </c>
      <c r="D572" s="37">
        <v>0.778</v>
      </c>
      <c r="E572" s="37">
        <v>0.864</v>
      </c>
      <c r="F572">
        <v>0.0406</v>
      </c>
      <c r="G572">
        <v>7.1932</v>
      </c>
      <c r="I572" s="38"/>
      <c r="J572" s="39"/>
      <c r="K572" s="39"/>
      <c r="L572" s="39"/>
      <c r="M572" s="39"/>
      <c r="N572" s="40"/>
      <c r="O572" s="40"/>
    </row>
    <row r="573" spans="1:15">
      <c r="A573" s="28" t="s">
        <v>888</v>
      </c>
      <c r="B573" s="37">
        <v>0.048</v>
      </c>
      <c r="C573" s="37">
        <v>0.048</v>
      </c>
      <c r="D573" s="37">
        <v>0.793</v>
      </c>
      <c r="E573" s="37">
        <v>0.733</v>
      </c>
      <c r="F573">
        <v>0.0408</v>
      </c>
      <c r="G573">
        <v>7.2356</v>
      </c>
      <c r="I573" s="38"/>
      <c r="J573" s="39"/>
      <c r="K573" s="39"/>
      <c r="L573" s="39"/>
      <c r="M573" s="39"/>
      <c r="N573" s="40"/>
      <c r="O573" s="40"/>
    </row>
    <row r="574" spans="1:15">
      <c r="A574" s="28" t="s">
        <v>889</v>
      </c>
      <c r="B574" s="37">
        <v>0.047</v>
      </c>
      <c r="C574" s="37">
        <v>0.045</v>
      </c>
      <c r="D574" s="37">
        <v>0.777</v>
      </c>
      <c r="E574" s="37">
        <v>0.68</v>
      </c>
      <c r="F574">
        <v>0.0407</v>
      </c>
      <c r="G574">
        <v>7.2924</v>
      </c>
      <c r="I574" s="38"/>
      <c r="J574" s="39"/>
      <c r="K574" s="39"/>
      <c r="L574" s="39"/>
      <c r="M574" s="39"/>
      <c r="N574" s="40"/>
      <c r="O574" s="40"/>
    </row>
    <row r="575" spans="1:15">
      <c r="A575" s="28" t="s">
        <v>890</v>
      </c>
      <c r="B575" s="37">
        <v>0.048</v>
      </c>
      <c r="C575" s="37">
        <v>0.045</v>
      </c>
      <c r="D575" s="37">
        <v>0.786</v>
      </c>
      <c r="E575" s="37">
        <v>0.681</v>
      </c>
      <c r="F575">
        <v>0.0409</v>
      </c>
      <c r="G575">
        <v>7.3699</v>
      </c>
      <c r="I575" s="38"/>
      <c r="J575" s="39"/>
      <c r="K575" s="39"/>
      <c r="L575" s="39"/>
      <c r="M575" s="39"/>
      <c r="N575" s="40"/>
      <c r="O575" s="40"/>
    </row>
    <row r="576" spans="1:15">
      <c r="A576" s="28" t="s">
        <v>891</v>
      </c>
      <c r="B576" s="37">
        <v>0.049</v>
      </c>
      <c r="C576" s="37">
        <v>0.064</v>
      </c>
      <c r="D576" s="37">
        <v>0.802</v>
      </c>
      <c r="E576" s="37">
        <v>0.953</v>
      </c>
      <c r="F576">
        <v>0.0409</v>
      </c>
      <c r="G576">
        <v>7.3641</v>
      </c>
      <c r="I576" s="38"/>
      <c r="J576" s="39"/>
      <c r="K576" s="39"/>
      <c r="L576" s="39"/>
      <c r="M576" s="39"/>
      <c r="N576" s="40"/>
      <c r="O576" s="40"/>
    </row>
    <row r="577" spans="1:15">
      <c r="A577" s="28" t="s">
        <v>892</v>
      </c>
      <c r="B577" s="37">
        <v>0.05</v>
      </c>
      <c r="C577" s="37">
        <v>0.064</v>
      </c>
      <c r="D577" s="37">
        <v>0.814</v>
      </c>
      <c r="E577" s="37">
        <v>0.96</v>
      </c>
      <c r="F577">
        <v>0.0415</v>
      </c>
      <c r="G577">
        <v>7.2974</v>
      </c>
      <c r="I577" s="38"/>
      <c r="J577" s="39"/>
      <c r="K577" s="39"/>
      <c r="L577" s="39"/>
      <c r="M577" s="39"/>
      <c r="N577" s="40"/>
      <c r="O577" s="40"/>
    </row>
    <row r="578" spans="1:15">
      <c r="A578" s="28" t="s">
        <v>893</v>
      </c>
      <c r="B578" s="37">
        <v>0.051</v>
      </c>
      <c r="C578" s="37">
        <v>0.064</v>
      </c>
      <c r="D578" s="37">
        <v>0.827</v>
      </c>
      <c r="E578" s="37">
        <v>0.945</v>
      </c>
      <c r="F578">
        <v>0.0415</v>
      </c>
      <c r="G578">
        <v>7.3091</v>
      </c>
      <c r="I578" s="38"/>
      <c r="J578" s="39"/>
      <c r="K578" s="39"/>
      <c r="L578" s="39"/>
      <c r="M578" s="39"/>
      <c r="N578" s="40"/>
      <c r="O578" s="40"/>
    </row>
    <row r="579" spans="1:15">
      <c r="A579" s="28" t="s">
        <v>894</v>
      </c>
      <c r="B579" s="37">
        <v>0.054</v>
      </c>
      <c r="C579" s="37">
        <v>0.068</v>
      </c>
      <c r="D579" s="37">
        <v>0.864</v>
      </c>
      <c r="E579" s="37">
        <v>1.004</v>
      </c>
      <c r="F579">
        <v>0.0416</v>
      </c>
      <c r="G579">
        <v>7.3288</v>
      </c>
      <c r="I579" s="38"/>
      <c r="J579" s="39"/>
      <c r="K579" s="39"/>
      <c r="L579" s="39"/>
      <c r="M579" s="39"/>
      <c r="N579" s="40"/>
      <c r="O579" s="40"/>
    </row>
    <row r="580" spans="1:15">
      <c r="A580" s="28" t="s">
        <v>895</v>
      </c>
      <c r="B580" s="37">
        <v>0.052</v>
      </c>
      <c r="C580" s="37">
        <v>0.063</v>
      </c>
      <c r="D580" s="37">
        <v>0.834</v>
      </c>
      <c r="E580" s="37">
        <v>0.917</v>
      </c>
      <c r="F580">
        <v>0.0416</v>
      </c>
      <c r="G580">
        <v>7.3031</v>
      </c>
      <c r="I580" s="38"/>
      <c r="J580" s="39"/>
      <c r="K580" s="39"/>
      <c r="L580" s="39"/>
      <c r="M580" s="39"/>
      <c r="N580" s="40"/>
      <c r="O580" s="40"/>
    </row>
    <row r="581" spans="1:15">
      <c r="A581" s="28" t="s">
        <v>896</v>
      </c>
      <c r="B581" s="37">
        <v>0.05</v>
      </c>
      <c r="C581" s="37">
        <v>0.063</v>
      </c>
      <c r="D581" s="37">
        <v>0.799</v>
      </c>
      <c r="E581" s="37">
        <v>0.907</v>
      </c>
      <c r="F581">
        <v>0.042</v>
      </c>
      <c r="G581">
        <v>7.3129</v>
      </c>
      <c r="I581" s="38"/>
      <c r="J581" s="39"/>
      <c r="K581" s="39"/>
      <c r="L581" s="39"/>
      <c r="M581" s="39"/>
      <c r="N581" s="40"/>
      <c r="O581" s="40"/>
    </row>
    <row r="582" spans="1:15">
      <c r="A582" s="28" t="s">
        <v>897</v>
      </c>
      <c r="B582" s="37">
        <v>0.05</v>
      </c>
      <c r="C582" s="37">
        <v>0.063</v>
      </c>
      <c r="D582" s="37">
        <v>0.787</v>
      </c>
      <c r="E582" s="37">
        <v>0.9</v>
      </c>
      <c r="F582">
        <v>0.0425</v>
      </c>
      <c r="G582">
        <v>7.3146</v>
      </c>
      <c r="I582" s="38"/>
      <c r="J582" s="39"/>
      <c r="K582" s="39"/>
      <c r="L582" s="39"/>
      <c r="M582" s="39"/>
      <c r="N582" s="40"/>
      <c r="O582" s="40"/>
    </row>
    <row r="583" spans="1:15">
      <c r="A583" s="28" t="s">
        <v>898</v>
      </c>
      <c r="B583" s="37">
        <v>0.052</v>
      </c>
      <c r="C583" s="37">
        <v>0.063</v>
      </c>
      <c r="D583" s="37">
        <v>0.819</v>
      </c>
      <c r="E583" s="37">
        <v>0.895</v>
      </c>
      <c r="F583">
        <v>0.0428</v>
      </c>
      <c r="G583">
        <v>7.2895</v>
      </c>
      <c r="I583" s="38"/>
      <c r="J583" s="39"/>
      <c r="K583" s="39"/>
      <c r="L583" s="39"/>
      <c r="M583" s="39"/>
      <c r="N583" s="40"/>
      <c r="O583" s="40"/>
    </row>
    <row r="584" spans="1:15">
      <c r="A584" s="28" t="s">
        <v>899</v>
      </c>
      <c r="B584" s="37">
        <v>0.051</v>
      </c>
      <c r="C584" s="37">
        <v>0.063</v>
      </c>
      <c r="D584" s="37">
        <v>0.8</v>
      </c>
      <c r="E584" s="37">
        <v>0.896</v>
      </c>
      <c r="F584">
        <v>0.0428</v>
      </c>
      <c r="G584">
        <v>7.3785</v>
      </c>
      <c r="I584" s="38"/>
      <c r="J584" s="39"/>
      <c r="K584" s="39"/>
      <c r="L584" s="39"/>
      <c r="M584" s="39"/>
      <c r="N584" s="40"/>
      <c r="O584" s="40"/>
    </row>
    <row r="585" spans="1:15">
      <c r="A585" s="28" t="s">
        <v>900</v>
      </c>
      <c r="B585" s="37">
        <v>0.053</v>
      </c>
      <c r="C585" s="37">
        <v>0.063</v>
      </c>
      <c r="D585" s="37">
        <v>0.835</v>
      </c>
      <c r="E585" s="37">
        <v>0.888</v>
      </c>
      <c r="F585">
        <v>0.0431</v>
      </c>
      <c r="G585">
        <v>7.5024</v>
      </c>
      <c r="I585" s="38"/>
      <c r="J585" s="39"/>
      <c r="K585" s="39"/>
      <c r="L585" s="39"/>
      <c r="M585" s="39"/>
      <c r="N585" s="40"/>
      <c r="O585" s="40"/>
    </row>
    <row r="586" spans="1:15">
      <c r="A586" s="28" t="s">
        <v>901</v>
      </c>
      <c r="B586" s="37">
        <v>0.054</v>
      </c>
      <c r="C586" s="37">
        <v>0.055</v>
      </c>
      <c r="D586" s="37">
        <v>0.846</v>
      </c>
      <c r="E586" s="37">
        <v>0.783</v>
      </c>
      <c r="F586">
        <v>0.0433</v>
      </c>
      <c r="G586">
        <v>7.5845</v>
      </c>
      <c r="I586" s="38"/>
      <c r="J586" s="39"/>
      <c r="K586" s="39"/>
      <c r="L586" s="39"/>
      <c r="M586" s="39"/>
      <c r="N586" s="40"/>
      <c r="O586" s="40"/>
    </row>
    <row r="587" spans="1:15">
      <c r="A587" s="28" t="s">
        <v>902</v>
      </c>
      <c r="B587" s="37">
        <v>0.058</v>
      </c>
      <c r="C587" s="37">
        <v>0.058</v>
      </c>
      <c r="D587" s="37">
        <v>0.896</v>
      </c>
      <c r="E587" s="37">
        <v>0.835</v>
      </c>
      <c r="F587">
        <v>0.0437</v>
      </c>
      <c r="G587">
        <v>7.6752</v>
      </c>
      <c r="I587" s="38"/>
      <c r="J587" s="39"/>
      <c r="K587" s="39"/>
      <c r="L587" s="39"/>
      <c r="M587" s="39"/>
      <c r="N587" s="40"/>
      <c r="O587" s="40"/>
    </row>
    <row r="588" spans="1:15">
      <c r="A588" s="28" t="s">
        <v>903</v>
      </c>
      <c r="B588" s="37">
        <v>0.057</v>
      </c>
      <c r="C588" s="37">
        <v>0.063</v>
      </c>
      <c r="D588" s="37">
        <v>0.888</v>
      </c>
      <c r="E588" s="37">
        <v>0.91</v>
      </c>
      <c r="F588">
        <v>0.0441</v>
      </c>
      <c r="G588">
        <v>7.7317</v>
      </c>
      <c r="I588" s="38"/>
      <c r="J588" s="39"/>
      <c r="K588" s="39"/>
      <c r="L588" s="39"/>
      <c r="M588" s="39"/>
      <c r="N588" s="40"/>
      <c r="O588" s="40"/>
    </row>
    <row r="589" spans="1:15">
      <c r="A589" s="28" t="s">
        <v>904</v>
      </c>
      <c r="B589" s="37">
        <v>0.055</v>
      </c>
      <c r="C589" s="37">
        <v>0.066</v>
      </c>
      <c r="D589" s="37">
        <v>0.853</v>
      </c>
      <c r="E589" s="37">
        <v>0.939</v>
      </c>
      <c r="F589">
        <v>0.0444</v>
      </c>
      <c r="G589">
        <v>7.8271</v>
      </c>
      <c r="I589" s="38"/>
      <c r="J589" s="39"/>
      <c r="K589" s="39"/>
      <c r="L589" s="39"/>
      <c r="M589" s="39"/>
      <c r="N589" s="40"/>
      <c r="O589" s="40"/>
    </row>
    <row r="590" spans="1:15">
      <c r="A590" s="28" t="s">
        <v>905</v>
      </c>
      <c r="B590" s="37">
        <v>0.056</v>
      </c>
      <c r="C590" s="37">
        <v>0.06</v>
      </c>
      <c r="D590" s="37">
        <v>0.866</v>
      </c>
      <c r="E590" s="37">
        <v>0.852</v>
      </c>
      <c r="F590">
        <v>0.0445</v>
      </c>
      <c r="G590">
        <v>7.8994</v>
      </c>
      <c r="I590" s="38"/>
      <c r="J590" s="39"/>
      <c r="K590" s="39"/>
      <c r="L590" s="39"/>
      <c r="M590" s="39"/>
      <c r="N590" s="40"/>
      <c r="O590" s="40"/>
    </row>
    <row r="591" spans="1:15">
      <c r="A591" s="28" t="s">
        <v>906</v>
      </c>
      <c r="B591" s="37">
        <v>0.056</v>
      </c>
      <c r="C591" s="37">
        <v>0.061</v>
      </c>
      <c r="D591" s="37">
        <v>0.857</v>
      </c>
      <c r="E591" s="37">
        <v>0.869</v>
      </c>
      <c r="F591">
        <v>0.0446</v>
      </c>
      <c r="G591">
        <v>7.8482</v>
      </c>
      <c r="I591" s="38"/>
      <c r="J591" s="39"/>
      <c r="K591" s="39"/>
      <c r="L591" s="39"/>
      <c r="M591" s="39"/>
      <c r="N591" s="40"/>
      <c r="O591" s="40"/>
    </row>
    <row r="592" spans="1:15">
      <c r="A592" s="28" t="s">
        <v>907</v>
      </c>
      <c r="B592" s="37">
        <v>0.054</v>
      </c>
      <c r="C592" s="37">
        <v>0.061</v>
      </c>
      <c r="D592" s="37">
        <v>0.819</v>
      </c>
      <c r="E592" s="37">
        <v>0.863</v>
      </c>
      <c r="F592">
        <v>0.0449</v>
      </c>
      <c r="G592">
        <v>7.7453</v>
      </c>
      <c r="I592" s="38"/>
      <c r="J592" s="39"/>
      <c r="K592" s="39"/>
      <c r="L592" s="39"/>
      <c r="M592" s="39"/>
      <c r="N592" s="40"/>
      <c r="O592" s="40"/>
    </row>
    <row r="593" spans="1:15">
      <c r="A593" s="28" t="s">
        <v>908</v>
      </c>
      <c r="B593" s="37">
        <v>0.054</v>
      </c>
      <c r="C593" s="37">
        <v>0.061</v>
      </c>
      <c r="D593" s="37">
        <v>0.827</v>
      </c>
      <c r="E593" s="37">
        <v>0.861</v>
      </c>
      <c r="F593">
        <v>0.045</v>
      </c>
      <c r="G593">
        <v>7.695</v>
      </c>
      <c r="I593" s="38"/>
      <c r="J593" s="39"/>
      <c r="K593" s="39"/>
      <c r="L593" s="39"/>
      <c r="M593" s="39"/>
      <c r="N593" s="40"/>
      <c r="O593" s="40"/>
    </row>
    <row r="594" spans="1:15">
      <c r="A594" s="28" t="s">
        <v>909</v>
      </c>
      <c r="B594" s="37">
        <v>0.054</v>
      </c>
      <c r="C594" s="37">
        <v>0.062</v>
      </c>
      <c r="D594" s="37">
        <v>0.819</v>
      </c>
      <c r="E594" s="37">
        <v>0.865</v>
      </c>
      <c r="F594">
        <v>0.0454</v>
      </c>
      <c r="G594">
        <v>7.7301</v>
      </c>
      <c r="I594" s="38"/>
      <c r="J594" s="39"/>
      <c r="K594" s="39"/>
      <c r="L594" s="39"/>
      <c r="M594" s="39"/>
      <c r="N594" s="40"/>
      <c r="O594" s="40"/>
    </row>
    <row r="595" spans="1:15">
      <c r="A595" s="28" t="s">
        <v>910</v>
      </c>
      <c r="B595" s="37">
        <v>0.057</v>
      </c>
      <c r="C595" s="37">
        <v>0.062</v>
      </c>
      <c r="D595" s="37">
        <v>0.86</v>
      </c>
      <c r="E595" s="37">
        <v>0.867</v>
      </c>
      <c r="F595">
        <v>0.0455</v>
      </c>
      <c r="G595">
        <v>7.7748</v>
      </c>
      <c r="I595" s="38"/>
      <c r="J595" s="39"/>
      <c r="K595" s="39"/>
      <c r="L595" s="39"/>
      <c r="M595" s="39"/>
      <c r="N595" s="40"/>
      <c r="O595" s="40"/>
    </row>
    <row r="596" spans="1:15">
      <c r="A596" s="28" t="s">
        <v>911</v>
      </c>
      <c r="B596" s="37">
        <v>0.055</v>
      </c>
      <c r="C596" s="37">
        <v>0.053</v>
      </c>
      <c r="D596" s="37">
        <v>0.829</v>
      </c>
      <c r="E596" s="37">
        <v>0.736</v>
      </c>
      <c r="F596">
        <v>0.0456</v>
      </c>
      <c r="G596">
        <v>7.7263</v>
      </c>
      <c r="I596" s="38"/>
      <c r="J596" s="39"/>
      <c r="K596" s="39"/>
      <c r="L596" s="39"/>
      <c r="M596" s="39"/>
      <c r="N596" s="40"/>
      <c r="O596" s="40"/>
    </row>
    <row r="597" spans="1:15">
      <c r="A597" s="28" t="s">
        <v>912</v>
      </c>
      <c r="B597" s="37">
        <v>0.046</v>
      </c>
      <c r="C597" s="37">
        <v>0.053</v>
      </c>
      <c r="D597" s="37">
        <v>0.688</v>
      </c>
      <c r="E597" s="37">
        <v>0.732</v>
      </c>
      <c r="F597">
        <v>0.0456</v>
      </c>
      <c r="G597">
        <v>7.7243</v>
      </c>
      <c r="I597" s="38"/>
      <c r="J597" s="39"/>
      <c r="K597" s="39"/>
      <c r="L597" s="39"/>
      <c r="M597" s="39"/>
      <c r="N597" s="40"/>
      <c r="O597" s="40"/>
    </row>
    <row r="598" spans="1:15">
      <c r="A598" s="28" t="s">
        <v>913</v>
      </c>
      <c r="B598" s="37">
        <v>0.042</v>
      </c>
      <c r="C598" s="37">
        <v>0.053</v>
      </c>
      <c r="D598" s="37">
        <v>0.63</v>
      </c>
      <c r="E598" s="37">
        <v>0.733</v>
      </c>
      <c r="F598">
        <v>0.0459</v>
      </c>
      <c r="G598">
        <v>7.7643</v>
      </c>
      <c r="I598" s="38"/>
      <c r="J598" s="39"/>
      <c r="K598" s="39"/>
      <c r="L598" s="39"/>
      <c r="M598" s="39"/>
      <c r="N598" s="40"/>
      <c r="O598" s="40"/>
    </row>
    <row r="599" spans="1:15">
      <c r="A599" s="28" t="s">
        <v>914</v>
      </c>
      <c r="B599" s="37">
        <v>0.04</v>
      </c>
      <c r="C599" s="37">
        <v>0.034</v>
      </c>
      <c r="D599" s="37">
        <v>0.598</v>
      </c>
      <c r="E599" s="37">
        <v>0.47</v>
      </c>
      <c r="F599">
        <v>0.046</v>
      </c>
      <c r="G599">
        <v>7.8428</v>
      </c>
      <c r="I599" s="38"/>
      <c r="J599" s="39"/>
      <c r="K599" s="39"/>
      <c r="L599" s="39"/>
      <c r="M599" s="39"/>
      <c r="N599" s="40"/>
      <c r="O599" s="40"/>
    </row>
    <row r="600" spans="1:15">
      <c r="A600" s="28" t="s">
        <v>915</v>
      </c>
      <c r="B600" s="37">
        <v>0.032</v>
      </c>
      <c r="C600" s="37">
        <v>0.034</v>
      </c>
      <c r="D600" s="37">
        <v>0.478</v>
      </c>
      <c r="E600" s="37">
        <v>0.468</v>
      </c>
      <c r="F600">
        <v>0.0462</v>
      </c>
      <c r="G600">
        <v>7.9366</v>
      </c>
      <c r="I600" s="38"/>
      <c r="J600" s="39"/>
      <c r="K600" s="39"/>
      <c r="L600" s="39"/>
      <c r="M600" s="39"/>
      <c r="N600" s="40"/>
      <c r="O600" s="40"/>
    </row>
    <row r="601" spans="1:15">
      <c r="A601" s="28" t="s">
        <v>916</v>
      </c>
      <c r="B601" s="37">
        <v>0.032</v>
      </c>
      <c r="C601" s="37">
        <v>0.047</v>
      </c>
      <c r="D601" s="37">
        <v>0.479</v>
      </c>
      <c r="E601" s="37">
        <v>0.637</v>
      </c>
      <c r="F601">
        <v>0.046</v>
      </c>
      <c r="G601">
        <v>7.9234</v>
      </c>
      <c r="I601" s="38"/>
      <c r="J601" s="39"/>
      <c r="K601" s="39"/>
      <c r="L601" s="39"/>
      <c r="M601" s="39"/>
      <c r="N601" s="40"/>
      <c r="O601" s="40"/>
    </row>
    <row r="602" spans="1:15">
      <c r="A602" s="28" t="s">
        <v>917</v>
      </c>
      <c r="B602" s="37">
        <v>0.033</v>
      </c>
      <c r="C602" s="37">
        <v>0.047</v>
      </c>
      <c r="D602" s="37">
        <v>0.488</v>
      </c>
      <c r="E602" s="37">
        <v>0.635</v>
      </c>
      <c r="F602">
        <v>0.0462</v>
      </c>
      <c r="G602">
        <v>7.9119</v>
      </c>
      <c r="I602" s="38"/>
      <c r="J602" s="39"/>
      <c r="K602" s="39"/>
      <c r="L602" s="39"/>
      <c r="M602" s="39"/>
      <c r="N602" s="40"/>
      <c r="O602" s="40"/>
    </row>
    <row r="603" spans="1:15">
      <c r="A603" s="28" t="s">
        <v>918</v>
      </c>
      <c r="B603" s="37">
        <v>0.032</v>
      </c>
      <c r="C603" s="37">
        <v>0.032</v>
      </c>
      <c r="D603" s="37">
        <v>0.468</v>
      </c>
      <c r="E603" s="37">
        <v>0.43</v>
      </c>
      <c r="F603">
        <v>0.0467</v>
      </c>
      <c r="G603">
        <v>8.0003</v>
      </c>
      <c r="I603" s="38"/>
      <c r="J603" s="39"/>
      <c r="K603" s="39"/>
      <c r="L603" s="39"/>
      <c r="M603" s="39"/>
      <c r="N603" s="40"/>
      <c r="O603" s="40"/>
    </row>
    <row r="604" spans="1:15">
      <c r="A604" s="28" t="s">
        <v>919</v>
      </c>
      <c r="B604" s="37">
        <v>0.032</v>
      </c>
      <c r="C604" s="37">
        <v>0.032</v>
      </c>
      <c r="D604" s="37">
        <v>0.472</v>
      </c>
      <c r="E604" s="37">
        <v>0.427</v>
      </c>
      <c r="F604">
        <v>0.0471</v>
      </c>
      <c r="G604">
        <v>8.0394</v>
      </c>
      <c r="I604" s="38"/>
      <c r="J604" s="39"/>
      <c r="K604" s="39"/>
      <c r="L604" s="39"/>
      <c r="M604" s="39"/>
      <c r="N604" s="40"/>
      <c r="O604" s="40"/>
    </row>
    <row r="605" spans="1:15">
      <c r="A605" s="28" t="s">
        <v>920</v>
      </c>
      <c r="B605" s="37">
        <v>0.033</v>
      </c>
      <c r="C605" s="37">
        <v>0.032</v>
      </c>
      <c r="D605" s="37">
        <v>0.478</v>
      </c>
      <c r="E605" s="37">
        <v>0.429</v>
      </c>
      <c r="F605">
        <v>0.0477</v>
      </c>
      <c r="G605">
        <v>8.0788</v>
      </c>
      <c r="I605" s="38"/>
      <c r="J605" s="39"/>
      <c r="K605" s="39"/>
      <c r="L605" s="39"/>
      <c r="M605" s="39"/>
      <c r="N605" s="40"/>
      <c r="O605" s="40"/>
    </row>
    <row r="606" spans="1:15">
      <c r="A606" s="28" t="s">
        <v>921</v>
      </c>
      <c r="B606" s="37">
        <v>0.03</v>
      </c>
      <c r="C606" s="37">
        <v>0.035</v>
      </c>
      <c r="D606" s="37">
        <v>0.431</v>
      </c>
      <c r="E606" s="37">
        <v>0.468</v>
      </c>
      <c r="F606">
        <v>0.048</v>
      </c>
      <c r="G606">
        <v>8.0801</v>
      </c>
      <c r="I606" s="38"/>
      <c r="J606" s="39"/>
      <c r="K606" s="39"/>
      <c r="L606" s="39"/>
      <c r="M606" s="39"/>
      <c r="N606" s="40"/>
      <c r="O606" s="40"/>
    </row>
    <row r="607" spans="1:15">
      <c r="A607" s="28" t="s">
        <v>922</v>
      </c>
      <c r="B607" s="37">
        <v>0.031</v>
      </c>
      <c r="C607" s="37">
        <v>0.02</v>
      </c>
      <c r="D607" s="37">
        <v>0.451</v>
      </c>
      <c r="E607" s="37">
        <v>0.271</v>
      </c>
      <c r="F607">
        <v>0.0484</v>
      </c>
      <c r="G607">
        <v>8.1542</v>
      </c>
      <c r="I607" s="38"/>
      <c r="J607" s="39"/>
      <c r="K607" s="39"/>
      <c r="L607" s="39"/>
      <c r="M607" s="39"/>
      <c r="N607" s="40"/>
      <c r="O607" s="40"/>
    </row>
    <row r="608" spans="1:15">
      <c r="A608" s="28" t="s">
        <v>923</v>
      </c>
      <c r="B608" s="37">
        <v>0.032</v>
      </c>
      <c r="C608" s="37">
        <v>0.02</v>
      </c>
      <c r="D608" s="37">
        <v>0.459</v>
      </c>
      <c r="E608" s="37">
        <v>0.269</v>
      </c>
      <c r="F608">
        <v>0.0485</v>
      </c>
      <c r="G608">
        <v>8.2334</v>
      </c>
      <c r="I608" s="38"/>
      <c r="J608" s="39"/>
      <c r="K608" s="39"/>
      <c r="L608" s="39"/>
      <c r="M608" s="39"/>
      <c r="N608" s="40"/>
      <c r="O608" s="40"/>
    </row>
    <row r="609" spans="1:15">
      <c r="A609" s="28" t="s">
        <v>924</v>
      </c>
      <c r="B609" s="37">
        <v>0.032</v>
      </c>
      <c r="C609" s="37">
        <v>0.02</v>
      </c>
      <c r="D609" s="37">
        <v>0.466</v>
      </c>
      <c r="E609" s="37">
        <v>0.27</v>
      </c>
      <c r="F609">
        <v>0.0486</v>
      </c>
      <c r="G609">
        <v>8.316</v>
      </c>
      <c r="I609" s="38"/>
      <c r="J609" s="39"/>
      <c r="K609" s="39"/>
      <c r="L609" s="39"/>
      <c r="M609" s="39"/>
      <c r="N609" s="40"/>
      <c r="O609" s="40"/>
    </row>
    <row r="610" spans="1:15">
      <c r="A610" s="28" t="s">
        <v>925</v>
      </c>
      <c r="B610" s="37">
        <v>0.033</v>
      </c>
      <c r="C610" s="37">
        <v>0.02</v>
      </c>
      <c r="D610" s="37">
        <v>0.474</v>
      </c>
      <c r="E610" s="37">
        <v>0.268</v>
      </c>
      <c r="F610">
        <v>0.049</v>
      </c>
      <c r="G610">
        <v>8.3293</v>
      </c>
      <c r="I610" s="38"/>
      <c r="J610" s="39"/>
      <c r="K610" s="39"/>
      <c r="L610" s="39"/>
      <c r="M610" s="39"/>
      <c r="N610" s="40"/>
      <c r="O610" s="40"/>
    </row>
    <row r="611" spans="1:15">
      <c r="A611" s="28" t="s">
        <v>926</v>
      </c>
      <c r="B611" s="37">
        <v>0.03</v>
      </c>
      <c r="C611" s="37">
        <v>0.019</v>
      </c>
      <c r="D611" s="37">
        <v>0.427</v>
      </c>
      <c r="E611" s="37">
        <v>0.245</v>
      </c>
      <c r="F611">
        <v>0.0496</v>
      </c>
      <c r="G611">
        <v>8.3032</v>
      </c>
      <c r="I611" s="38"/>
      <c r="J611" s="39"/>
      <c r="K611" s="39"/>
      <c r="L611" s="39"/>
      <c r="M611" s="39"/>
      <c r="N611" s="40"/>
      <c r="O611" s="40"/>
    </row>
    <row r="612" spans="1:15">
      <c r="A612" s="28" t="s">
        <v>927</v>
      </c>
      <c r="B612" s="37">
        <v>0.03</v>
      </c>
      <c r="C612" s="37">
        <v>0.019</v>
      </c>
      <c r="D612" s="37">
        <v>0.435</v>
      </c>
      <c r="E612" s="37">
        <v>0.245</v>
      </c>
      <c r="F612">
        <v>0.049</v>
      </c>
      <c r="G612">
        <v>8.225</v>
      </c>
      <c r="I612" s="38"/>
      <c r="J612" s="39"/>
      <c r="K612" s="39"/>
      <c r="L612" s="39"/>
      <c r="M612" s="39"/>
      <c r="N612" s="40"/>
      <c r="O612" s="40"/>
    </row>
    <row r="613" spans="1:15">
      <c r="A613" s="28" t="s">
        <v>928</v>
      </c>
      <c r="B613" s="37">
        <v>0.029</v>
      </c>
      <c r="C613" s="37">
        <v>0.003</v>
      </c>
      <c r="D613" s="37">
        <v>0.409</v>
      </c>
      <c r="E613" s="37">
        <v>0.042</v>
      </c>
      <c r="F613">
        <v>0.0494</v>
      </c>
      <c r="G613">
        <v>8.3793</v>
      </c>
      <c r="I613" s="38"/>
      <c r="J613" s="39"/>
      <c r="K613" s="39"/>
      <c r="L613" s="39"/>
      <c r="M613" s="39"/>
      <c r="N613" s="40"/>
      <c r="O613" s="40"/>
    </row>
    <row r="614" spans="1:15">
      <c r="A614" s="28" t="s">
        <v>929</v>
      </c>
      <c r="B614" s="37">
        <v>0.03</v>
      </c>
      <c r="C614" s="37">
        <v>0.003</v>
      </c>
      <c r="D614" s="37">
        <v>0.427</v>
      </c>
      <c r="E614" s="37">
        <v>0.042</v>
      </c>
      <c r="F614">
        <v>0.0497</v>
      </c>
      <c r="G614">
        <v>8.3924</v>
      </c>
      <c r="I614" s="38"/>
      <c r="J614" s="39"/>
      <c r="K614" s="39"/>
      <c r="L614" s="39"/>
      <c r="M614" s="39"/>
      <c r="N614" s="40"/>
      <c r="O614" s="40"/>
    </row>
    <row r="615" spans="1:15">
      <c r="A615" s="28" t="s">
        <v>930</v>
      </c>
      <c r="B615" s="37">
        <v>0.029</v>
      </c>
      <c r="C615" s="37">
        <v>0.004</v>
      </c>
      <c r="D615" s="37">
        <v>0.417</v>
      </c>
      <c r="E615" s="37">
        <v>0.058</v>
      </c>
      <c r="F615">
        <v>0.0498</v>
      </c>
      <c r="G615">
        <v>8.4605</v>
      </c>
      <c r="I615" s="38"/>
      <c r="J615" s="39"/>
      <c r="K615" s="39"/>
      <c r="L615" s="39"/>
      <c r="M615" s="39"/>
      <c r="N615" s="40"/>
      <c r="O615" s="40"/>
    </row>
    <row r="616" spans="1:15">
      <c r="A616" s="28" t="s">
        <v>931</v>
      </c>
      <c r="B616" s="37">
        <v>0.03</v>
      </c>
      <c r="C616" s="37">
        <v>0.004</v>
      </c>
      <c r="D616" s="37">
        <v>0.419</v>
      </c>
      <c r="E616" s="37">
        <v>0.058</v>
      </c>
      <c r="F616">
        <v>0.0495</v>
      </c>
      <c r="G616">
        <v>8.4412</v>
      </c>
      <c r="I616" s="38"/>
      <c r="J616" s="39"/>
      <c r="K616" s="39"/>
      <c r="L616" s="39"/>
      <c r="M616" s="39"/>
      <c r="N616" s="40"/>
      <c r="O616" s="40"/>
    </row>
    <row r="617" spans="1:15">
      <c r="A617" s="28" t="s">
        <v>932</v>
      </c>
      <c r="B617" s="37">
        <v>0.028</v>
      </c>
      <c r="C617" s="37">
        <v>0.004</v>
      </c>
      <c r="D617" s="37">
        <v>0.399</v>
      </c>
      <c r="E617" s="37">
        <v>0.058</v>
      </c>
      <c r="F617">
        <v>0.0494</v>
      </c>
      <c r="G617">
        <v>8.442</v>
      </c>
      <c r="I617" s="38"/>
      <c r="J617" s="39"/>
      <c r="K617" s="39"/>
      <c r="L617" s="39"/>
      <c r="M617" s="39"/>
      <c r="N617" s="40"/>
      <c r="O617" s="40"/>
    </row>
    <row r="618" spans="1:15">
      <c r="A618" s="28" t="s">
        <v>933</v>
      </c>
      <c r="B618" s="37">
        <v>0.03</v>
      </c>
      <c r="C618" s="37">
        <v>0.002</v>
      </c>
      <c r="D618" s="37">
        <v>0.416</v>
      </c>
      <c r="E618" s="37">
        <v>0.023</v>
      </c>
      <c r="F618">
        <v>0.0497</v>
      </c>
      <c r="G618">
        <v>8.4403</v>
      </c>
      <c r="I618" s="38"/>
      <c r="J618" s="39"/>
      <c r="K618" s="39"/>
      <c r="L618" s="39"/>
      <c r="M618" s="39"/>
      <c r="N618" s="40"/>
      <c r="O618" s="40"/>
    </row>
    <row r="619" spans="1:15">
      <c r="A619" s="28" t="s">
        <v>934</v>
      </c>
      <c r="B619" s="37">
        <v>0.03</v>
      </c>
      <c r="C619" s="37">
        <v>0.002</v>
      </c>
      <c r="D619" s="37">
        <v>0.422</v>
      </c>
      <c r="E619" s="37">
        <v>0.023</v>
      </c>
      <c r="F619">
        <v>0.0495</v>
      </c>
      <c r="G619">
        <v>8.3894</v>
      </c>
      <c r="I619" s="38"/>
      <c r="J619" s="39"/>
      <c r="K619" s="39"/>
      <c r="L619" s="39"/>
      <c r="M619" s="39"/>
      <c r="N619" s="40"/>
      <c r="O619" s="40"/>
    </row>
    <row r="620" spans="1:15">
      <c r="A620" s="28" t="s">
        <v>935</v>
      </c>
      <c r="B620" s="37">
        <v>0.031</v>
      </c>
      <c r="C620" s="37">
        <v>0.002</v>
      </c>
      <c r="D620" s="37">
        <v>0.434</v>
      </c>
      <c r="E620" s="37">
        <v>0.023</v>
      </c>
      <c r="F620">
        <v>0.0498</v>
      </c>
      <c r="G620">
        <v>8.3134</v>
      </c>
      <c r="I620" s="38"/>
      <c r="J620" s="39"/>
      <c r="K620" s="39"/>
      <c r="L620" s="39"/>
      <c r="M620" s="39"/>
      <c r="N620" s="40"/>
      <c r="O620" s="40"/>
    </row>
    <row r="621" spans="1:15">
      <c r="A621" s="28" t="s">
        <v>936</v>
      </c>
      <c r="B621" s="37">
        <v>0.027</v>
      </c>
      <c r="C621" s="37">
        <v>0.002</v>
      </c>
      <c r="D621" s="37">
        <v>0.38</v>
      </c>
      <c r="E621" s="37">
        <v>0.023</v>
      </c>
      <c r="F621">
        <v>0.0498</v>
      </c>
      <c r="G621">
        <v>8.3834</v>
      </c>
      <c r="I621" s="38"/>
      <c r="J621" s="39"/>
      <c r="K621" s="39"/>
      <c r="L621" s="39"/>
      <c r="M621" s="39"/>
      <c r="N621" s="40"/>
      <c r="O621" s="40"/>
    </row>
    <row r="622" spans="1:15">
      <c r="A622" s="28" t="s">
        <v>937</v>
      </c>
      <c r="B622" s="37">
        <v>0.028</v>
      </c>
      <c r="C622" s="37">
        <v>0.002</v>
      </c>
      <c r="D622" s="37">
        <v>0.386</v>
      </c>
      <c r="E622" s="37">
        <v>0.023</v>
      </c>
      <c r="F622">
        <v>0.0498</v>
      </c>
      <c r="G622">
        <v>8.471</v>
      </c>
      <c r="I622" s="38"/>
      <c r="J622" s="39"/>
      <c r="K622" s="39"/>
      <c r="L622" s="39"/>
      <c r="M622" s="39"/>
      <c r="N622" s="40"/>
      <c r="O622" s="40"/>
    </row>
    <row r="623" spans="1:15">
      <c r="A623" s="28" t="s">
        <v>938</v>
      </c>
      <c r="B623" s="37">
        <v>0.028</v>
      </c>
      <c r="C623" s="37">
        <v>0.002</v>
      </c>
      <c r="D623" s="37">
        <v>0.392</v>
      </c>
      <c r="E623" s="37">
        <v>0.023</v>
      </c>
      <c r="F623">
        <v>0.0498</v>
      </c>
      <c r="G623">
        <v>8.4711</v>
      </c>
      <c r="I623" s="38"/>
      <c r="J623" s="39"/>
      <c r="K623" s="39"/>
      <c r="L623" s="39"/>
      <c r="M623" s="39"/>
      <c r="N623" s="40"/>
      <c r="O623" s="40"/>
    </row>
    <row r="624" spans="1:15">
      <c r="A624" s="28" t="s">
        <v>939</v>
      </c>
      <c r="B624" s="37">
        <v>0.03</v>
      </c>
      <c r="C624" s="37">
        <v>0.006</v>
      </c>
      <c r="D624" s="37">
        <v>0.422</v>
      </c>
      <c r="E624" s="37">
        <v>0.076</v>
      </c>
      <c r="F624">
        <v>0.05</v>
      </c>
      <c r="G624">
        <v>8.4515</v>
      </c>
      <c r="I624" s="38"/>
      <c r="J624" s="39"/>
      <c r="K624" s="39"/>
      <c r="L624" s="39"/>
      <c r="M624" s="39"/>
      <c r="N624" s="40"/>
      <c r="O624" s="40"/>
    </row>
    <row r="625" spans="1:15">
      <c r="A625" s="28" t="s">
        <v>940</v>
      </c>
      <c r="B625" s="37">
        <v>0.032</v>
      </c>
      <c r="C625" s="37">
        <v>0.003</v>
      </c>
      <c r="D625" s="37">
        <v>0.443</v>
      </c>
      <c r="E625" s="37">
        <v>0.041</v>
      </c>
      <c r="F625">
        <v>0.0502</v>
      </c>
      <c r="G625">
        <v>8.4548</v>
      </c>
      <c r="I625" s="38"/>
      <c r="J625" s="39"/>
      <c r="K625" s="39"/>
      <c r="L625" s="39"/>
      <c r="M625" s="39"/>
      <c r="N625" s="40"/>
      <c r="O625" s="40"/>
    </row>
    <row r="626" spans="1:15">
      <c r="A626" s="28" t="s">
        <v>941</v>
      </c>
      <c r="B626" s="37">
        <v>0.031</v>
      </c>
      <c r="C626" s="37">
        <v>0.003</v>
      </c>
      <c r="D626" s="37">
        <v>0.437</v>
      </c>
      <c r="E626" s="37">
        <v>0.041</v>
      </c>
      <c r="F626">
        <v>0.0504</v>
      </c>
      <c r="G626">
        <v>8.4267</v>
      </c>
      <c r="I626" s="38"/>
      <c r="J626" s="39"/>
      <c r="K626" s="39"/>
      <c r="L626" s="39"/>
      <c r="M626" s="39"/>
      <c r="N626" s="40"/>
      <c r="O626" s="40"/>
    </row>
    <row r="627" spans="1:15">
      <c r="A627" s="28" t="s">
        <v>942</v>
      </c>
      <c r="B627" s="37">
        <v>0.032</v>
      </c>
      <c r="C627" s="37">
        <v>0.009</v>
      </c>
      <c r="D627" s="37">
        <v>0.443</v>
      </c>
      <c r="E627" s="37">
        <v>0.111</v>
      </c>
      <c r="F627">
        <v>0.0503</v>
      </c>
      <c r="G627">
        <v>8.3603</v>
      </c>
      <c r="I627" s="38"/>
      <c r="J627" s="39"/>
      <c r="K627" s="39"/>
      <c r="L627" s="39"/>
      <c r="M627" s="39"/>
      <c r="N627" s="40"/>
      <c r="O627" s="40"/>
    </row>
    <row r="628" spans="1:15">
      <c r="A628" s="28" t="s">
        <v>943</v>
      </c>
      <c r="B628" s="37">
        <v>0.03</v>
      </c>
      <c r="C628" s="37">
        <v>0.006</v>
      </c>
      <c r="D628" s="37">
        <v>0.42</v>
      </c>
      <c r="E628" s="37">
        <v>0.079</v>
      </c>
      <c r="F628">
        <v>0.0503</v>
      </c>
      <c r="G628">
        <v>8.366</v>
      </c>
      <c r="I628" s="38"/>
      <c r="J628" s="39"/>
      <c r="K628" s="39"/>
      <c r="L628" s="39"/>
      <c r="M628" s="39"/>
      <c r="N628" s="40"/>
      <c r="O628" s="40"/>
    </row>
    <row r="629" spans="1:15">
      <c r="A629" s="28" t="s">
        <v>944</v>
      </c>
      <c r="B629" s="37">
        <v>0.028</v>
      </c>
      <c r="C629" s="37">
        <v>0.017</v>
      </c>
      <c r="D629" s="37">
        <v>0.391</v>
      </c>
      <c r="E629" s="37">
        <v>0.212</v>
      </c>
      <c r="F629">
        <v>0.0504</v>
      </c>
      <c r="G629">
        <v>8.3449</v>
      </c>
      <c r="I629" s="38"/>
      <c r="J629" s="39"/>
      <c r="K629" s="39"/>
      <c r="L629" s="39"/>
      <c r="M629" s="39"/>
      <c r="N629" s="40"/>
      <c r="O629" s="40"/>
    </row>
    <row r="630" spans="1:15">
      <c r="A630" s="28" t="s">
        <v>945</v>
      </c>
      <c r="B630" s="37">
        <v>0.03</v>
      </c>
      <c r="C630" s="37">
        <v>0.01</v>
      </c>
      <c r="D630" s="37">
        <v>0.419</v>
      </c>
      <c r="E630" s="37">
        <v>0.123</v>
      </c>
      <c r="F630">
        <v>0.0501</v>
      </c>
      <c r="G630">
        <v>8.454</v>
      </c>
      <c r="I630" s="38"/>
      <c r="J630" s="39"/>
      <c r="K630" s="39"/>
      <c r="L630" s="39"/>
      <c r="M630" s="39"/>
      <c r="N630" s="40"/>
      <c r="O630" s="40"/>
    </row>
    <row r="631" spans="1:15">
      <c r="A631" s="28" t="s">
        <v>946</v>
      </c>
      <c r="B631" s="37">
        <v>0.029</v>
      </c>
      <c r="C631" s="37">
        <v>0.01</v>
      </c>
      <c r="D631" s="37">
        <v>0.405</v>
      </c>
      <c r="E631" s="37">
        <v>0.123</v>
      </c>
      <c r="F631">
        <v>0.05</v>
      </c>
      <c r="G631">
        <v>8.4631</v>
      </c>
      <c r="I631" s="38"/>
      <c r="J631" s="39"/>
      <c r="K631" s="39"/>
      <c r="L631" s="39"/>
      <c r="M631" s="39"/>
      <c r="N631" s="40"/>
      <c r="O631" s="40"/>
    </row>
    <row r="632" spans="1:15">
      <c r="A632" s="28" t="s">
        <v>947</v>
      </c>
      <c r="B632" s="37">
        <v>0.026</v>
      </c>
      <c r="C632" s="37">
        <v>0.01</v>
      </c>
      <c r="D632" s="37">
        <v>0.352</v>
      </c>
      <c r="E632" s="37">
        <v>0.124</v>
      </c>
      <c r="F632">
        <v>0.0502</v>
      </c>
      <c r="G632">
        <v>8.4645</v>
      </c>
      <c r="I632" s="38"/>
      <c r="J632" s="39"/>
      <c r="K632" s="39"/>
      <c r="L632" s="39"/>
      <c r="M632" s="39"/>
      <c r="N632" s="40"/>
      <c r="O632" s="40"/>
    </row>
    <row r="633" spans="1:15">
      <c r="A633" s="28" t="s">
        <v>948</v>
      </c>
      <c r="B633" s="37">
        <v>0.025</v>
      </c>
      <c r="C633" s="37">
        <v>0.008</v>
      </c>
      <c r="D633" s="37">
        <v>0.34</v>
      </c>
      <c r="E633" s="37">
        <v>0.101</v>
      </c>
      <c r="F633">
        <v>0.0501</v>
      </c>
      <c r="G633">
        <v>8.5131</v>
      </c>
      <c r="I633" s="38"/>
      <c r="J633" s="39"/>
      <c r="K633" s="39"/>
      <c r="L633" s="39"/>
      <c r="M633" s="39"/>
      <c r="N633" s="40"/>
      <c r="O633" s="40"/>
    </row>
    <row r="634" spans="1:15">
      <c r="A634" s="28" t="s">
        <v>949</v>
      </c>
      <c r="B634" s="37">
        <v>0.026</v>
      </c>
      <c r="C634" s="37">
        <v>0.012</v>
      </c>
      <c r="D634" s="37">
        <v>0.365</v>
      </c>
      <c r="E634" s="37">
        <v>0.155</v>
      </c>
      <c r="F634">
        <v>0.0494</v>
      </c>
      <c r="G634">
        <v>8.4833</v>
      </c>
      <c r="I634" s="38"/>
      <c r="J634" s="39"/>
      <c r="K634" s="39"/>
      <c r="L634" s="39"/>
      <c r="M634" s="39"/>
      <c r="N634" s="40"/>
      <c r="O634" s="40"/>
    </row>
    <row r="635" spans="1:15">
      <c r="A635" s="28" t="s">
        <v>950</v>
      </c>
      <c r="B635" s="37">
        <v>0.028</v>
      </c>
      <c r="C635" s="37">
        <v>0.01</v>
      </c>
      <c r="D635" s="37">
        <v>0.394</v>
      </c>
      <c r="E635" s="37">
        <v>0.122</v>
      </c>
      <c r="F635">
        <v>0.0494</v>
      </c>
      <c r="G635">
        <v>8.5534</v>
      </c>
      <c r="I635" s="38"/>
      <c r="J635" s="39"/>
      <c r="K635" s="39"/>
      <c r="L635" s="39"/>
      <c r="M635" s="39"/>
      <c r="N635" s="40"/>
      <c r="O635" s="40"/>
    </row>
    <row r="636" spans="1:15">
      <c r="A636" s="28" t="s">
        <v>951</v>
      </c>
      <c r="B636" s="37">
        <v>0.028</v>
      </c>
      <c r="C636" s="37">
        <v>0.024</v>
      </c>
      <c r="D636" s="37">
        <v>0.389</v>
      </c>
      <c r="E636" s="37">
        <v>0.302</v>
      </c>
      <c r="F636">
        <v>0.0494</v>
      </c>
      <c r="G636">
        <v>8.627</v>
      </c>
      <c r="I636" s="38"/>
      <c r="J636" s="39"/>
      <c r="K636" s="39"/>
      <c r="L636" s="39"/>
      <c r="M636" s="39"/>
      <c r="N636" s="40"/>
      <c r="O636" s="40"/>
    </row>
    <row r="637" spans="1:15">
      <c r="A637" s="28" t="s">
        <v>952</v>
      </c>
      <c r="B637" s="37">
        <v>0.029</v>
      </c>
      <c r="C637" s="37">
        <v>0.02</v>
      </c>
      <c r="D637" s="37">
        <v>0.398</v>
      </c>
      <c r="E637" s="37">
        <v>0.252</v>
      </c>
      <c r="F637">
        <v>0.0494</v>
      </c>
      <c r="G637">
        <v>8.6251</v>
      </c>
      <c r="I637" s="38"/>
      <c r="J637" s="39"/>
      <c r="K637" s="39"/>
      <c r="L637" s="39"/>
      <c r="M637" s="39"/>
      <c r="N637" s="40"/>
      <c r="O637" s="40"/>
    </row>
    <row r="638" spans="1:15">
      <c r="A638" s="28" t="s">
        <v>953</v>
      </c>
      <c r="B638" s="37">
        <v>0.03</v>
      </c>
      <c r="C638" s="37">
        <v>0.018</v>
      </c>
      <c r="D638" s="37">
        <v>0.414</v>
      </c>
      <c r="E638" s="37">
        <v>0.225</v>
      </c>
      <c r="F638">
        <v>0.0492</v>
      </c>
      <c r="G638">
        <v>8.5859</v>
      </c>
      <c r="I638" s="38"/>
      <c r="J638" s="39"/>
      <c r="K638" s="39"/>
      <c r="L638" s="39"/>
      <c r="M638" s="39"/>
      <c r="N638" s="40"/>
      <c r="O638" s="40"/>
    </row>
    <row r="639" spans="1:15">
      <c r="A639" s="28" t="s">
        <v>954</v>
      </c>
      <c r="B639" s="37">
        <v>0.031</v>
      </c>
      <c r="C639" s="37">
        <v>0.018</v>
      </c>
      <c r="D639" s="37">
        <v>0.431</v>
      </c>
      <c r="E639" s="37">
        <v>0.224</v>
      </c>
      <c r="F639">
        <v>0.049</v>
      </c>
      <c r="G639">
        <v>8.5645</v>
      </c>
      <c r="I639" s="38"/>
      <c r="J639" s="39"/>
      <c r="K639" s="39"/>
      <c r="L639" s="39"/>
      <c r="M639" s="39"/>
      <c r="N639" s="40"/>
      <c r="O639" s="40"/>
    </row>
    <row r="640" spans="1:15">
      <c r="A640" s="28" t="s">
        <v>955</v>
      </c>
      <c r="B640" s="37">
        <v>0.031</v>
      </c>
      <c r="C640" s="37">
        <v>0.011</v>
      </c>
      <c r="D640" s="37">
        <v>0.433</v>
      </c>
      <c r="E640" s="37">
        <v>0.14</v>
      </c>
      <c r="F640">
        <v>0.0492</v>
      </c>
      <c r="G640">
        <v>8.5919</v>
      </c>
      <c r="I640" s="38"/>
      <c r="J640" s="39"/>
      <c r="K640" s="39"/>
      <c r="L640" s="39"/>
      <c r="M640" s="39"/>
      <c r="N640" s="40"/>
      <c r="O640" s="40"/>
    </row>
    <row r="641" spans="1:15">
      <c r="A641" s="28" t="s">
        <v>956</v>
      </c>
      <c r="B641" s="37">
        <v>0.033</v>
      </c>
      <c r="C641" s="37">
        <v>0.008</v>
      </c>
      <c r="D641" s="37">
        <v>0.463</v>
      </c>
      <c r="E641" s="37">
        <v>0.099</v>
      </c>
      <c r="F641">
        <v>0.0493</v>
      </c>
      <c r="G641">
        <v>8.5144</v>
      </c>
      <c r="I641" s="38"/>
      <c r="J641" s="39"/>
      <c r="K641" s="39"/>
      <c r="L641" s="39"/>
      <c r="M641" s="39"/>
      <c r="N641" s="40"/>
      <c r="O641" s="40"/>
    </row>
    <row r="642" spans="1:15">
      <c r="A642" s="28" t="s">
        <v>957</v>
      </c>
      <c r="B642" s="37">
        <v>0.033</v>
      </c>
      <c r="C642" s="37">
        <v>0.007</v>
      </c>
      <c r="D642" s="37">
        <v>0.467</v>
      </c>
      <c r="E642" s="37">
        <v>0.087</v>
      </c>
      <c r="F642">
        <v>0.0492</v>
      </c>
      <c r="G642">
        <v>8.4654</v>
      </c>
      <c r="I642" s="38"/>
      <c r="J642" s="39"/>
      <c r="K642" s="39"/>
      <c r="L642" s="39"/>
      <c r="M642" s="39"/>
      <c r="N642" s="40"/>
      <c r="O642" s="40"/>
    </row>
    <row r="643" spans="1:15">
      <c r="A643" s="28" t="s">
        <v>958</v>
      </c>
      <c r="B643" s="37">
        <v>0.034</v>
      </c>
      <c r="C643" s="37">
        <v>0.011</v>
      </c>
      <c r="D643" s="37">
        <v>0.471</v>
      </c>
      <c r="E643" s="37">
        <v>0.132</v>
      </c>
      <c r="F643">
        <v>0.0495</v>
      </c>
      <c r="G643">
        <v>8.467</v>
      </c>
      <c r="I643" s="38"/>
      <c r="J643" s="39"/>
      <c r="K643" s="39"/>
      <c r="L643" s="39"/>
      <c r="M643" s="39"/>
      <c r="N643" s="40"/>
      <c r="O643" s="40"/>
    </row>
    <row r="644" spans="1:15">
      <c r="A644" s="28" t="s">
        <v>959</v>
      </c>
      <c r="B644" s="37">
        <v>0.033</v>
      </c>
      <c r="C644" s="37">
        <v>0.011</v>
      </c>
      <c r="D644" s="37">
        <v>0.459</v>
      </c>
      <c r="E644" s="37">
        <v>0.133</v>
      </c>
      <c r="F644">
        <v>0.0493</v>
      </c>
      <c r="G644">
        <v>8.444</v>
      </c>
      <c r="I644" s="38"/>
      <c r="J644" s="39"/>
      <c r="K644" s="39"/>
      <c r="L644" s="39"/>
      <c r="M644" s="39"/>
      <c r="N644" s="40"/>
      <c r="O644" s="40"/>
    </row>
    <row r="645" spans="1:15">
      <c r="A645" s="28" t="s">
        <v>960</v>
      </c>
      <c r="B645" s="37">
        <v>0.034</v>
      </c>
      <c r="C645" s="37">
        <v>0.013</v>
      </c>
      <c r="D645" s="37">
        <v>0.471</v>
      </c>
      <c r="E645" s="37">
        <v>0.167</v>
      </c>
      <c r="F645">
        <v>0.0497</v>
      </c>
      <c r="G645">
        <v>8.4989</v>
      </c>
      <c r="I645" s="38"/>
      <c r="J645" s="39"/>
      <c r="K645" s="39"/>
      <c r="L645" s="39"/>
      <c r="M645" s="39"/>
      <c r="N645" s="40"/>
      <c r="O645" s="40"/>
    </row>
    <row r="646" spans="1:15">
      <c r="A646" s="28" t="s">
        <v>961</v>
      </c>
      <c r="B646" s="37">
        <v>0.032</v>
      </c>
      <c r="C646" s="37">
        <v>0.013</v>
      </c>
      <c r="D646" s="37">
        <v>0.455</v>
      </c>
      <c r="E646" s="37">
        <v>0.168</v>
      </c>
      <c r="F646">
        <v>0.0502</v>
      </c>
      <c r="G646">
        <v>8.4653</v>
      </c>
      <c r="I646" s="38"/>
      <c r="J646" s="39"/>
      <c r="K646" s="39"/>
      <c r="L646" s="39"/>
      <c r="M646" s="39"/>
      <c r="N646" s="40"/>
      <c r="O646" s="40"/>
    </row>
    <row r="647" spans="1:15">
      <c r="A647" s="28" t="s">
        <v>962</v>
      </c>
      <c r="B647" s="37">
        <v>0.035</v>
      </c>
      <c r="C647" s="37">
        <v>0.012</v>
      </c>
      <c r="D647" s="37">
        <v>0.489</v>
      </c>
      <c r="E647" s="37">
        <v>0.147</v>
      </c>
      <c r="F647">
        <v>0.0501</v>
      </c>
      <c r="G647">
        <v>8.4043</v>
      </c>
      <c r="I647" s="38"/>
      <c r="J647" s="39"/>
      <c r="K647" s="39"/>
      <c r="L647" s="39"/>
      <c r="M647" s="39"/>
      <c r="N647" s="40"/>
      <c r="O647" s="40"/>
    </row>
    <row r="648" spans="1:15">
      <c r="A648" s="28" t="s">
        <v>963</v>
      </c>
      <c r="B648" s="37">
        <v>0.036</v>
      </c>
      <c r="C648" s="37">
        <v>0.012</v>
      </c>
      <c r="D648" s="37">
        <v>0.505</v>
      </c>
      <c r="E648" s="37">
        <v>0.149</v>
      </c>
      <c r="F648">
        <v>0.0499</v>
      </c>
      <c r="G648">
        <v>8.3818</v>
      </c>
      <c r="I648" s="38"/>
      <c r="J648" s="39"/>
      <c r="K648" s="39"/>
      <c r="L648" s="39"/>
      <c r="M648" s="39"/>
      <c r="N648" s="40"/>
      <c r="O648" s="40"/>
    </row>
    <row r="649" spans="1:15">
      <c r="A649" s="28" t="s">
        <v>964</v>
      </c>
      <c r="B649" s="37">
        <v>0.035</v>
      </c>
      <c r="C649" s="37">
        <v>0.007</v>
      </c>
      <c r="D649" s="37">
        <v>0.488</v>
      </c>
      <c r="E649" s="37">
        <v>0.086</v>
      </c>
      <c r="F649">
        <v>0.0497</v>
      </c>
      <c r="G649">
        <v>8.3731</v>
      </c>
      <c r="I649" s="38"/>
      <c r="J649" s="39"/>
      <c r="K649" s="39"/>
      <c r="L649" s="39"/>
      <c r="M649" s="39"/>
      <c r="N649" s="40"/>
      <c r="O649" s="40"/>
    </row>
    <row r="650" spans="1:15">
      <c r="A650" s="28" t="s">
        <v>965</v>
      </c>
      <c r="B650" s="37">
        <v>0.035</v>
      </c>
      <c r="C650" s="37">
        <v>0.008</v>
      </c>
      <c r="D650" s="37">
        <v>0.499</v>
      </c>
      <c r="E650" s="37">
        <v>0.1</v>
      </c>
      <c r="F650">
        <v>0.0496</v>
      </c>
      <c r="G650">
        <v>8.3152</v>
      </c>
      <c r="I650" s="38"/>
      <c r="J650" s="39"/>
      <c r="K650" s="39"/>
      <c r="L650" s="39"/>
      <c r="M650" s="39"/>
      <c r="N650" s="40"/>
      <c r="O650" s="40"/>
    </row>
    <row r="651" spans="1:15">
      <c r="A651" s="28" t="s">
        <v>966</v>
      </c>
      <c r="B651" s="37">
        <v>0.036</v>
      </c>
      <c r="C651" s="37">
        <v>0.007</v>
      </c>
      <c r="D651" s="37">
        <v>0.512</v>
      </c>
      <c r="E651" s="37">
        <v>0.087</v>
      </c>
      <c r="F651">
        <v>0.0496</v>
      </c>
      <c r="G651">
        <v>8.299</v>
      </c>
      <c r="I651" s="38"/>
      <c r="J651" s="39"/>
      <c r="K651" s="39"/>
      <c r="L651" s="39"/>
      <c r="M651" s="39"/>
      <c r="N651" s="40"/>
      <c r="O651" s="40"/>
    </row>
    <row r="652" spans="1:15">
      <c r="A652" s="28" t="s">
        <v>967</v>
      </c>
      <c r="B652" s="37">
        <v>0.036</v>
      </c>
      <c r="C652" s="37">
        <v>0.01</v>
      </c>
      <c r="D652" s="37">
        <v>0.507</v>
      </c>
      <c r="E652" s="37">
        <v>0.132</v>
      </c>
      <c r="F652">
        <v>0.0496</v>
      </c>
      <c r="G652">
        <v>8.3251</v>
      </c>
      <c r="I652" s="38"/>
      <c r="J652" s="39"/>
      <c r="K652" s="39"/>
      <c r="L652" s="39"/>
      <c r="M652" s="39"/>
      <c r="N652" s="40"/>
      <c r="O652" s="40"/>
    </row>
    <row r="653" spans="1:15">
      <c r="A653" s="28" t="s">
        <v>968</v>
      </c>
      <c r="B653" s="37">
        <v>0.034</v>
      </c>
      <c r="C653" s="37">
        <v>0.01</v>
      </c>
      <c r="D653" s="37">
        <v>0.48</v>
      </c>
      <c r="E653" s="37">
        <v>0.132</v>
      </c>
      <c r="F653">
        <v>0.0496</v>
      </c>
      <c r="G653">
        <v>8.254</v>
      </c>
      <c r="I653" s="38"/>
      <c r="J653" s="39"/>
      <c r="K653" s="39"/>
      <c r="L653" s="39"/>
      <c r="M653" s="39"/>
      <c r="N653" s="40"/>
      <c r="O653" s="40"/>
    </row>
    <row r="654" spans="1:15">
      <c r="A654" s="28" t="s">
        <v>969</v>
      </c>
      <c r="B654" s="37">
        <v>0.034</v>
      </c>
      <c r="C654" s="37">
        <v>0.01</v>
      </c>
      <c r="D654" s="37">
        <v>0.481</v>
      </c>
      <c r="E654" s="37">
        <v>0.131</v>
      </c>
      <c r="F654">
        <v>0.0495</v>
      </c>
      <c r="G654">
        <v>8.2404</v>
      </c>
      <c r="I654" s="38"/>
      <c r="J654" s="39"/>
      <c r="K654" s="39"/>
      <c r="L654" s="39"/>
      <c r="M654" s="39"/>
      <c r="N654" s="40"/>
      <c r="O654" s="40"/>
    </row>
    <row r="655" spans="1:15">
      <c r="A655" s="28" t="s">
        <v>970</v>
      </c>
      <c r="B655" s="37">
        <v>0.033</v>
      </c>
      <c r="C655" s="37">
        <v>0.01</v>
      </c>
      <c r="D655" s="37">
        <v>0.476</v>
      </c>
      <c r="E655" s="37">
        <v>0.132</v>
      </c>
      <c r="F655">
        <v>0.0493</v>
      </c>
      <c r="G655">
        <v>8.2258</v>
      </c>
      <c r="I655" s="38"/>
      <c r="J655" s="39"/>
      <c r="K655" s="39"/>
      <c r="L655" s="39"/>
      <c r="M655" s="39"/>
      <c r="N655" s="40"/>
      <c r="O655" s="40"/>
    </row>
    <row r="656" spans="1:15">
      <c r="A656" s="28" t="s">
        <v>971</v>
      </c>
      <c r="B656" s="37">
        <v>0.034</v>
      </c>
      <c r="C656" s="37">
        <v>0.02</v>
      </c>
      <c r="D656" s="37">
        <v>0.48</v>
      </c>
      <c r="E656" s="37">
        <v>0.267</v>
      </c>
      <c r="F656">
        <v>0.0493</v>
      </c>
      <c r="G656">
        <v>8.1966</v>
      </c>
      <c r="I656" s="38"/>
      <c r="J656" s="39"/>
      <c r="K656" s="39"/>
      <c r="L656" s="39"/>
      <c r="M656" s="39"/>
      <c r="N656" s="40"/>
      <c r="O656" s="40"/>
    </row>
    <row r="657" spans="1:15">
      <c r="A657" s="28" t="s">
        <v>972</v>
      </c>
      <c r="B657" s="37">
        <v>0.033</v>
      </c>
      <c r="C657" s="37">
        <v>0.024</v>
      </c>
      <c r="D657" s="37">
        <v>0.478</v>
      </c>
      <c r="E657" s="37">
        <v>0.314</v>
      </c>
      <c r="F657">
        <v>0.0487</v>
      </c>
      <c r="G657">
        <v>8.2054</v>
      </c>
      <c r="I657" s="38"/>
      <c r="J657" s="39"/>
      <c r="K657" s="39"/>
      <c r="L657" s="39"/>
      <c r="M657" s="39"/>
      <c r="N657" s="40"/>
      <c r="O657" s="40"/>
    </row>
    <row r="658" spans="1:15">
      <c r="A658" s="28" t="s">
        <v>973</v>
      </c>
      <c r="B658" s="37">
        <v>0.034</v>
      </c>
      <c r="C658" s="37">
        <v>0.024</v>
      </c>
      <c r="D658" s="37">
        <v>0.485</v>
      </c>
      <c r="E658" s="37">
        <v>0.316</v>
      </c>
      <c r="F658">
        <v>0.0488</v>
      </c>
      <c r="G658">
        <v>8.227</v>
      </c>
      <c r="I658" s="38"/>
      <c r="J658" s="39"/>
      <c r="K658" s="39"/>
      <c r="L658" s="39"/>
      <c r="M658" s="39"/>
      <c r="N658" s="40"/>
      <c r="O658" s="40"/>
    </row>
    <row r="659" spans="1:15">
      <c r="A659" s="28" t="s">
        <v>974</v>
      </c>
      <c r="B659" s="37">
        <v>0.034</v>
      </c>
      <c r="C659" s="37">
        <v>0.02</v>
      </c>
      <c r="D659" s="37">
        <v>0.488</v>
      </c>
      <c r="E659" s="37">
        <v>0.271</v>
      </c>
      <c r="F659">
        <v>0.0486</v>
      </c>
      <c r="G659">
        <v>8.1464</v>
      </c>
      <c r="I659" s="38"/>
      <c r="J659" s="39"/>
      <c r="K659" s="39"/>
      <c r="L659" s="39"/>
      <c r="M659" s="39"/>
      <c r="N659" s="40"/>
      <c r="O659" s="40"/>
    </row>
    <row r="660" spans="1:15">
      <c r="A660" s="28" t="s">
        <v>975</v>
      </c>
      <c r="B660" s="37">
        <v>0.034</v>
      </c>
      <c r="C660" s="37">
        <v>0.024</v>
      </c>
      <c r="D660" s="37">
        <v>0.487</v>
      </c>
      <c r="E660" s="37">
        <v>0.319</v>
      </c>
      <c r="F660">
        <v>0.0483</v>
      </c>
      <c r="G660">
        <v>8.1399</v>
      </c>
      <c r="I660" s="38"/>
      <c r="J660" s="39"/>
      <c r="K660" s="39"/>
      <c r="L660" s="39"/>
      <c r="M660" s="39"/>
      <c r="N660" s="40"/>
      <c r="O660" s="40"/>
    </row>
    <row r="661" spans="1:15">
      <c r="A661" s="28" t="s">
        <v>976</v>
      </c>
      <c r="B661" s="37">
        <v>0.034</v>
      </c>
      <c r="C661" s="37">
        <v>0.024</v>
      </c>
      <c r="D661" s="37">
        <v>0.489</v>
      </c>
      <c r="E661" s="37">
        <v>0.322</v>
      </c>
      <c r="F661">
        <v>0.0481</v>
      </c>
      <c r="G661">
        <v>8.123</v>
      </c>
      <c r="I661" s="38"/>
      <c r="J661" s="39"/>
      <c r="K661" s="39"/>
      <c r="L661" s="39"/>
      <c r="M661" s="39"/>
      <c r="N661" s="40"/>
      <c r="O661" s="40"/>
    </row>
    <row r="662" spans="1:15">
      <c r="A662" s="28" t="s">
        <v>977</v>
      </c>
      <c r="B662" s="37">
        <v>0.035</v>
      </c>
      <c r="C662" s="37">
        <v>0.021</v>
      </c>
      <c r="D662" s="37">
        <v>0.509</v>
      </c>
      <c r="E662" s="37">
        <v>0.283</v>
      </c>
      <c r="F662">
        <v>0.0478</v>
      </c>
      <c r="G662">
        <v>8.1574</v>
      </c>
      <c r="I662" s="38"/>
      <c r="J662" s="39"/>
      <c r="K662" s="39"/>
      <c r="L662" s="39"/>
      <c r="M662" s="39"/>
      <c r="N662" s="40"/>
      <c r="O662" s="40"/>
    </row>
    <row r="663" spans="1:15">
      <c r="A663" s="28" t="s">
        <v>978</v>
      </c>
      <c r="B663" s="37">
        <v>0.037</v>
      </c>
      <c r="C663" s="37">
        <v>0.021</v>
      </c>
      <c r="D663" s="37">
        <v>0.532</v>
      </c>
      <c r="E663" s="37">
        <v>0.284</v>
      </c>
      <c r="F663">
        <v>0.0476</v>
      </c>
      <c r="G663">
        <v>8.1305</v>
      </c>
      <c r="I663" s="38"/>
      <c r="J663" s="39"/>
      <c r="K663" s="39"/>
      <c r="L663" s="39"/>
      <c r="M663" s="39"/>
      <c r="N663" s="40"/>
      <c r="O663" s="40"/>
    </row>
    <row r="664" spans="1:15">
      <c r="A664" s="28" t="s">
        <v>979</v>
      </c>
      <c r="B664" s="37">
        <v>0.038</v>
      </c>
      <c r="C664" s="37">
        <v>0.026</v>
      </c>
      <c r="D664" s="37">
        <v>0.556</v>
      </c>
      <c r="E664" s="37">
        <v>0.354</v>
      </c>
      <c r="F664">
        <v>0.0476</v>
      </c>
      <c r="G664">
        <v>8.1174</v>
      </c>
      <c r="I664" s="38"/>
      <c r="J664" s="39"/>
      <c r="K664" s="39"/>
      <c r="L664" s="39"/>
      <c r="M664" s="39"/>
      <c r="N664" s="40"/>
      <c r="O664" s="40"/>
    </row>
    <row r="665" spans="1:15">
      <c r="A665" s="28" t="s">
        <v>980</v>
      </c>
      <c r="B665" s="37">
        <v>0.039</v>
      </c>
      <c r="C665" s="37">
        <v>0.023</v>
      </c>
      <c r="D665" s="37">
        <v>0.564</v>
      </c>
      <c r="E665" s="37">
        <v>0.314</v>
      </c>
      <c r="F665">
        <v>0.0477</v>
      </c>
      <c r="G665">
        <v>8.0845</v>
      </c>
      <c r="I665" s="38"/>
      <c r="J665" s="39"/>
      <c r="K665" s="39"/>
      <c r="L665" s="39"/>
      <c r="M665" s="39"/>
      <c r="N665" s="40"/>
      <c r="O665" s="40"/>
    </row>
    <row r="666" spans="1:15">
      <c r="A666" s="28" t="s">
        <v>981</v>
      </c>
      <c r="B666" s="37">
        <v>0.038</v>
      </c>
      <c r="C666" s="37">
        <v>0.019</v>
      </c>
      <c r="D666" s="37">
        <v>0.559</v>
      </c>
      <c r="E666" s="37">
        <v>0.258</v>
      </c>
      <c r="F666">
        <v>0.0471</v>
      </c>
      <c r="G666">
        <v>8.0146</v>
      </c>
      <c r="I666" s="38"/>
      <c r="J666" s="39"/>
      <c r="K666" s="39"/>
      <c r="L666" s="39"/>
      <c r="M666" s="39"/>
      <c r="N666" s="40"/>
      <c r="O666" s="40"/>
    </row>
    <row r="667" spans="1:15">
      <c r="A667" s="28" t="s">
        <v>982</v>
      </c>
      <c r="B667" s="37">
        <v>0.036</v>
      </c>
      <c r="C667" s="37">
        <v>0.019</v>
      </c>
      <c r="D667" s="37">
        <v>0.524</v>
      </c>
      <c r="E667" s="37">
        <v>0.259</v>
      </c>
      <c r="F667">
        <v>0.0469</v>
      </c>
      <c r="G667">
        <v>8.0025</v>
      </c>
      <c r="I667" s="38"/>
      <c r="J667" s="39"/>
      <c r="K667" s="39"/>
      <c r="L667" s="39"/>
      <c r="M667" s="39"/>
      <c r="N667" s="40"/>
      <c r="O667" s="40"/>
    </row>
    <row r="668" spans="1:15">
      <c r="A668" s="28" t="s">
        <v>983</v>
      </c>
      <c r="B668" s="37">
        <v>0.035</v>
      </c>
      <c r="C668" s="37">
        <v>0.02</v>
      </c>
      <c r="D668" s="37">
        <v>0.522</v>
      </c>
      <c r="E668" s="37">
        <v>0.277</v>
      </c>
      <c r="F668">
        <v>0.0467</v>
      </c>
      <c r="G668">
        <v>7.9412</v>
      </c>
      <c r="I668" s="38"/>
      <c r="J668" s="39"/>
      <c r="K668" s="39"/>
      <c r="L668" s="39"/>
      <c r="M668" s="39"/>
      <c r="N668" s="40"/>
      <c r="O668" s="40"/>
    </row>
    <row r="669" spans="1:15">
      <c r="A669" s="28" t="s">
        <v>984</v>
      </c>
      <c r="B669" s="37">
        <v>0.035</v>
      </c>
      <c r="C669" s="37">
        <v>0.02</v>
      </c>
      <c r="D669" s="37">
        <v>0.523</v>
      </c>
      <c r="E669" s="37">
        <v>0.278</v>
      </c>
      <c r="F669">
        <v>0.0466</v>
      </c>
      <c r="G669">
        <v>7.9419</v>
      </c>
      <c r="I669" s="38"/>
      <c r="J669" s="39"/>
      <c r="K669" s="39"/>
      <c r="L669" s="39"/>
      <c r="M669" s="39"/>
      <c r="N669" s="40"/>
      <c r="O669" s="40"/>
    </row>
    <row r="670" spans="1:15">
      <c r="A670" s="28" t="s">
        <v>985</v>
      </c>
      <c r="B670" s="37">
        <v>0.034</v>
      </c>
      <c r="C670" s="37">
        <v>0.026</v>
      </c>
      <c r="D670" s="37">
        <v>0.503</v>
      </c>
      <c r="E670" s="37">
        <v>0.362</v>
      </c>
      <c r="F670">
        <v>0.0463</v>
      </c>
      <c r="G670">
        <v>7.9298</v>
      </c>
      <c r="I670" s="38"/>
      <c r="J670" s="39"/>
      <c r="K670" s="39"/>
      <c r="L670" s="39"/>
      <c r="M670" s="39"/>
      <c r="N670" s="40"/>
      <c r="O670" s="40"/>
    </row>
    <row r="671" spans="1:15">
      <c r="A671" s="28" t="s">
        <v>986</v>
      </c>
      <c r="B671" s="37">
        <v>0.034</v>
      </c>
      <c r="C671" s="37">
        <v>0.025</v>
      </c>
      <c r="D671" s="37">
        <v>0.501</v>
      </c>
      <c r="E671" s="37">
        <v>0.348</v>
      </c>
      <c r="F671">
        <v>0.0461</v>
      </c>
      <c r="G671">
        <v>7.8708</v>
      </c>
      <c r="I671" s="38"/>
      <c r="J671" s="39"/>
      <c r="K671" s="39"/>
      <c r="L671" s="39"/>
      <c r="M671" s="39"/>
      <c r="N671" s="40"/>
      <c r="O671" s="40"/>
    </row>
    <row r="672" spans="1:15">
      <c r="A672" s="28" t="s">
        <v>987</v>
      </c>
      <c r="B672" s="37">
        <v>0.037</v>
      </c>
      <c r="C672" s="37">
        <v>0.029</v>
      </c>
      <c r="D672" s="37">
        <v>0.549</v>
      </c>
      <c r="E672" s="37">
        <v>0.396</v>
      </c>
      <c r="F672">
        <v>0.0458</v>
      </c>
      <c r="G672">
        <v>7.8388</v>
      </c>
      <c r="I672" s="38"/>
      <c r="J672" s="39"/>
      <c r="K672" s="39"/>
      <c r="L672" s="39"/>
      <c r="M672" s="39"/>
      <c r="N672" s="40"/>
      <c r="O672" s="40"/>
    </row>
    <row r="673" spans="1:15">
      <c r="A673" s="28" t="s">
        <v>988</v>
      </c>
      <c r="B673" s="37">
        <v>0.036</v>
      </c>
      <c r="C673" s="37">
        <v>0.029</v>
      </c>
      <c r="D673" s="37">
        <v>0.54</v>
      </c>
      <c r="E673" s="37">
        <v>0.395</v>
      </c>
      <c r="F673">
        <v>0.0459</v>
      </c>
      <c r="G673">
        <v>7.819</v>
      </c>
      <c r="I673" s="38"/>
      <c r="J673" s="39"/>
      <c r="K673" s="39"/>
      <c r="L673" s="39"/>
      <c r="M673" s="39"/>
      <c r="N673" s="40"/>
      <c r="O673" s="40"/>
    </row>
    <row r="674" spans="1:15">
      <c r="A674" s="28" t="s">
        <v>989</v>
      </c>
      <c r="B674" s="37">
        <v>0.039</v>
      </c>
      <c r="C674" s="37">
        <v>0.028</v>
      </c>
      <c r="D674" s="37">
        <v>0.579</v>
      </c>
      <c r="E674" s="37">
        <v>0.384</v>
      </c>
      <c r="F674">
        <v>0.0459</v>
      </c>
      <c r="G674">
        <v>7.8841</v>
      </c>
      <c r="I674" s="38"/>
      <c r="J674" s="39"/>
      <c r="K674" s="39"/>
      <c r="L674" s="39"/>
      <c r="M674" s="39"/>
      <c r="N674" s="40"/>
      <c r="O674" s="40"/>
    </row>
    <row r="675" spans="1:15">
      <c r="A675" s="28" t="s">
        <v>990</v>
      </c>
      <c r="B675" s="37">
        <v>0.037</v>
      </c>
      <c r="C675" s="37">
        <v>0.025</v>
      </c>
      <c r="D675" s="37">
        <v>0.559</v>
      </c>
      <c r="E675" s="37">
        <v>0.343</v>
      </c>
      <c r="F675">
        <v>0.0458</v>
      </c>
      <c r="G675">
        <v>7.918</v>
      </c>
      <c r="I675" s="38"/>
      <c r="J675" s="39"/>
      <c r="K675" s="39"/>
      <c r="L675" s="39"/>
      <c r="M675" s="39"/>
      <c r="N675" s="40"/>
      <c r="O675" s="40"/>
    </row>
    <row r="676" spans="1:15">
      <c r="A676" s="28" t="s">
        <v>991</v>
      </c>
      <c r="B676" s="37">
        <v>0.036</v>
      </c>
      <c r="C676" s="37">
        <v>0.033</v>
      </c>
      <c r="D676" s="37">
        <v>0.54</v>
      </c>
      <c r="E676" s="37">
        <v>0.449</v>
      </c>
      <c r="F676">
        <v>0.0456</v>
      </c>
      <c r="G676">
        <v>7.9111</v>
      </c>
      <c r="I676" s="38"/>
      <c r="J676" s="39"/>
      <c r="K676" s="39"/>
      <c r="L676" s="39"/>
      <c r="M676" s="39"/>
      <c r="N676" s="40"/>
      <c r="O676" s="40"/>
    </row>
    <row r="677" spans="1:15">
      <c r="A677" s="28" t="s">
        <v>992</v>
      </c>
      <c r="B677" s="37">
        <v>0.033</v>
      </c>
      <c r="C677" s="37">
        <v>0.033</v>
      </c>
      <c r="D677" s="37">
        <v>0.506</v>
      </c>
      <c r="E677" s="37">
        <v>0.451</v>
      </c>
      <c r="F677">
        <v>0.0456</v>
      </c>
      <c r="G677">
        <v>7.8893</v>
      </c>
      <c r="I677" s="38"/>
      <c r="J677" s="39"/>
      <c r="K677" s="39"/>
      <c r="L677" s="39"/>
      <c r="M677" s="39"/>
      <c r="N677" s="40"/>
      <c r="O677" s="40"/>
    </row>
    <row r="678" spans="1:15">
      <c r="A678" s="28" t="s">
        <v>993</v>
      </c>
      <c r="B678" s="37">
        <v>0.033</v>
      </c>
      <c r="C678" s="37">
        <v>0.029</v>
      </c>
      <c r="D678" s="37">
        <v>0.497</v>
      </c>
      <c r="E678" s="37">
        <v>0.402</v>
      </c>
      <c r="F678">
        <v>0.0458</v>
      </c>
      <c r="G678">
        <v>7.8152</v>
      </c>
      <c r="I678" s="38"/>
      <c r="J678" s="39"/>
      <c r="K678" s="39"/>
      <c r="L678" s="39"/>
      <c r="M678" s="39"/>
      <c r="N678" s="40"/>
      <c r="O678" s="40"/>
    </row>
    <row r="679" spans="1:15">
      <c r="A679" s="28" t="s">
        <v>994</v>
      </c>
      <c r="B679" s="37">
        <v>0.033</v>
      </c>
      <c r="C679" s="37">
        <v>0.029</v>
      </c>
      <c r="D679" s="37">
        <v>0.504</v>
      </c>
      <c r="E679" s="37">
        <v>0.408</v>
      </c>
      <c r="F679">
        <v>0.0454</v>
      </c>
      <c r="G679">
        <v>7.796</v>
      </c>
      <c r="I679" s="38"/>
      <c r="J679" s="39"/>
      <c r="K679" s="39"/>
      <c r="L679" s="39"/>
      <c r="M679" s="39"/>
      <c r="N679" s="40"/>
      <c r="O679" s="40"/>
    </row>
    <row r="680" spans="1:15">
      <c r="A680" s="28" t="s">
        <v>995</v>
      </c>
      <c r="B680" s="37">
        <v>0.034</v>
      </c>
      <c r="C680" s="37">
        <v>0.036</v>
      </c>
      <c r="D680" s="37">
        <v>0.518</v>
      </c>
      <c r="E680" s="37">
        <v>0.505</v>
      </c>
      <c r="F680">
        <v>0.0451</v>
      </c>
      <c r="G680">
        <v>7.7333</v>
      </c>
      <c r="I680" s="38"/>
      <c r="J680" s="39"/>
      <c r="K680" s="39"/>
      <c r="L680" s="39"/>
      <c r="M680" s="39"/>
      <c r="N680" s="40"/>
      <c r="O680" s="40"/>
    </row>
    <row r="681" spans="1:15">
      <c r="A681" s="28" t="s">
        <v>996</v>
      </c>
      <c r="B681" s="37">
        <v>0.036</v>
      </c>
      <c r="C681" s="37">
        <v>0.036</v>
      </c>
      <c r="D681" s="37">
        <v>0.548</v>
      </c>
      <c r="E681" s="37">
        <v>0.503</v>
      </c>
      <c r="F681">
        <v>0.045</v>
      </c>
      <c r="G681">
        <v>7.7421</v>
      </c>
      <c r="I681" s="38"/>
      <c r="J681" s="39"/>
      <c r="K681" s="39"/>
      <c r="L681" s="39"/>
      <c r="M681" s="39"/>
      <c r="N681" s="40"/>
      <c r="O681" s="40"/>
    </row>
    <row r="682" spans="1:15">
      <c r="A682" s="28" t="s">
        <v>997</v>
      </c>
      <c r="B682" s="37">
        <v>0.035</v>
      </c>
      <c r="C682" s="37">
        <v>0.04</v>
      </c>
      <c r="D682" s="37">
        <v>0.529</v>
      </c>
      <c r="E682" s="37">
        <v>0.564</v>
      </c>
      <c r="F682">
        <v>0.0451</v>
      </c>
      <c r="G682">
        <v>7.7251</v>
      </c>
      <c r="I682" s="38"/>
      <c r="J682" s="39"/>
      <c r="K682" s="39"/>
      <c r="L682" s="39"/>
      <c r="M682" s="39"/>
      <c r="N682" s="40"/>
      <c r="O682" s="40"/>
    </row>
    <row r="683" spans="1:15">
      <c r="A683" s="28" t="s">
        <v>998</v>
      </c>
      <c r="B683" s="37">
        <v>0.033</v>
      </c>
      <c r="C683" s="37">
        <v>0.029</v>
      </c>
      <c r="D683" s="37">
        <v>0.506</v>
      </c>
      <c r="E683" s="37">
        <v>0.411</v>
      </c>
      <c r="F683">
        <v>0.0452</v>
      </c>
      <c r="G683">
        <v>7.6995</v>
      </c>
      <c r="I683" s="38"/>
      <c r="J683" s="39"/>
      <c r="K683" s="39"/>
      <c r="L683" s="39"/>
      <c r="M683" s="39"/>
      <c r="N683" s="40"/>
      <c r="O683" s="40"/>
    </row>
    <row r="684" spans="1:15">
      <c r="A684" s="28" t="s">
        <v>999</v>
      </c>
      <c r="B684" s="37">
        <v>0.032</v>
      </c>
      <c r="C684" s="37">
        <v>0.032</v>
      </c>
      <c r="D684" s="37">
        <v>0.494</v>
      </c>
      <c r="E684" s="37">
        <v>0.455</v>
      </c>
      <c r="F684">
        <v>0.0449</v>
      </c>
      <c r="G684">
        <v>7.7192</v>
      </c>
      <c r="I684" s="38"/>
      <c r="J684" s="39"/>
      <c r="K684" s="39"/>
      <c r="L684" s="39"/>
      <c r="M684" s="39"/>
      <c r="N684" s="40"/>
      <c r="O684" s="40"/>
    </row>
    <row r="685" spans="1:15">
      <c r="A685" s="28" t="s">
        <v>1000</v>
      </c>
      <c r="B685" s="37">
        <v>0.034</v>
      </c>
      <c r="C685" s="37">
        <v>0.029</v>
      </c>
      <c r="D685" s="37">
        <v>0.519</v>
      </c>
      <c r="E685" s="37">
        <v>0.407</v>
      </c>
      <c r="F685">
        <v>0.0446</v>
      </c>
      <c r="G685">
        <v>7.7146</v>
      </c>
      <c r="I685" s="38"/>
      <c r="J685" s="39"/>
      <c r="K685" s="39"/>
      <c r="L685" s="39"/>
      <c r="M685" s="39"/>
      <c r="N685" s="40"/>
      <c r="O685" s="40"/>
    </row>
    <row r="686" spans="1:15">
      <c r="A686" s="28" t="s">
        <v>1001</v>
      </c>
      <c r="B686" s="37">
        <v>0.034</v>
      </c>
      <c r="C686" s="37">
        <v>0.03</v>
      </c>
      <c r="D686" s="37">
        <v>0.53</v>
      </c>
      <c r="E686" s="37">
        <v>0.424</v>
      </c>
      <c r="F686">
        <v>0.0446</v>
      </c>
      <c r="G686">
        <v>7.6322</v>
      </c>
      <c r="I686" s="38"/>
      <c r="J686" s="39"/>
      <c r="K686" s="39"/>
      <c r="L686" s="39"/>
      <c r="M686" s="39"/>
      <c r="N686" s="40"/>
      <c r="O686" s="40"/>
    </row>
    <row r="687" spans="1:15">
      <c r="A687" s="28" t="s">
        <v>1002</v>
      </c>
      <c r="B687" s="37">
        <v>0.03</v>
      </c>
      <c r="C687" s="37">
        <v>0.03</v>
      </c>
      <c r="D687" s="37">
        <v>0.467</v>
      </c>
      <c r="E687" s="37">
        <v>0.421</v>
      </c>
      <c r="F687">
        <v>0.0446</v>
      </c>
      <c r="G687">
        <v>7.606</v>
      </c>
      <c r="I687" s="38"/>
      <c r="J687" s="39"/>
      <c r="K687" s="39"/>
      <c r="L687" s="39"/>
      <c r="M687" s="39"/>
      <c r="N687" s="40"/>
      <c r="O687" s="40"/>
    </row>
    <row r="688" spans="1:15">
      <c r="A688" s="28" t="s">
        <v>1003</v>
      </c>
      <c r="B688" s="37">
        <v>0.03</v>
      </c>
      <c r="C688" s="37">
        <v>0.036</v>
      </c>
      <c r="D688" s="37">
        <v>0.473</v>
      </c>
      <c r="E688" s="37">
        <v>0.508</v>
      </c>
      <c r="F688">
        <v>0.0447</v>
      </c>
      <c r="G688">
        <v>7.6</v>
      </c>
      <c r="I688" s="38"/>
      <c r="J688" s="39"/>
      <c r="K688" s="39"/>
      <c r="L688" s="39"/>
      <c r="M688" s="39"/>
      <c r="N688" s="40"/>
      <c r="O688" s="40"/>
    </row>
    <row r="689" spans="1:15">
      <c r="A689" s="28" t="s">
        <v>1004</v>
      </c>
      <c r="B689" s="37">
        <v>0.029</v>
      </c>
      <c r="C689" s="37">
        <v>0.029</v>
      </c>
      <c r="D689" s="37">
        <v>0.45</v>
      </c>
      <c r="E689" s="37">
        <v>0.41</v>
      </c>
      <c r="F689">
        <v>0.0442</v>
      </c>
      <c r="G689">
        <v>7.5715</v>
      </c>
      <c r="I689" s="38"/>
      <c r="J689" s="39"/>
      <c r="K689" s="39"/>
      <c r="L689" s="39"/>
      <c r="M689" s="39"/>
      <c r="N689" s="40"/>
      <c r="O689" s="40"/>
    </row>
    <row r="690" spans="1:15">
      <c r="A690" s="28" t="s">
        <v>1005</v>
      </c>
      <c r="B690" s="37">
        <v>0.029</v>
      </c>
      <c r="C690" s="37">
        <v>0.029</v>
      </c>
      <c r="D690" s="37">
        <v>0.459</v>
      </c>
      <c r="E690" s="37">
        <v>0.412</v>
      </c>
      <c r="F690">
        <v>0.044</v>
      </c>
      <c r="G690">
        <v>7.5597</v>
      </c>
      <c r="I690" s="38"/>
      <c r="J690" s="39"/>
      <c r="K690" s="39"/>
      <c r="L690" s="39"/>
      <c r="M690" s="39"/>
      <c r="N690" s="40"/>
      <c r="O690" s="40"/>
    </row>
    <row r="691" spans="1:15">
      <c r="A691" s="28" t="s">
        <v>1006</v>
      </c>
      <c r="B691" s="37">
        <v>0.031</v>
      </c>
      <c r="C691" s="37">
        <v>0.029</v>
      </c>
      <c r="D691" s="37">
        <v>0.492</v>
      </c>
      <c r="E691" s="37">
        <v>0.415</v>
      </c>
      <c r="F691">
        <v>0.0441</v>
      </c>
      <c r="G691">
        <v>7.5343</v>
      </c>
      <c r="I691" s="38"/>
      <c r="J691" s="39"/>
      <c r="K691" s="39"/>
      <c r="L691" s="39"/>
      <c r="M691" s="39"/>
      <c r="N691" s="40"/>
      <c r="O691" s="40"/>
    </row>
    <row r="692" spans="1:15">
      <c r="A692" s="28" t="s">
        <v>1007</v>
      </c>
      <c r="B692" s="37">
        <v>0.032</v>
      </c>
      <c r="C692" s="37">
        <v>0.029</v>
      </c>
      <c r="D692" s="37">
        <v>0.5</v>
      </c>
      <c r="E692" s="37">
        <v>0.418</v>
      </c>
      <c r="F692">
        <v>0.0438</v>
      </c>
      <c r="G692">
        <v>7.5166</v>
      </c>
      <c r="I692" s="38"/>
      <c r="J692" s="39"/>
      <c r="K692" s="39"/>
      <c r="L692" s="39"/>
      <c r="M692" s="39"/>
      <c r="N692" s="40"/>
      <c r="O692" s="40"/>
    </row>
    <row r="693" spans="1:15">
      <c r="A693" s="28" t="s">
        <v>1008</v>
      </c>
      <c r="B693" s="37">
        <v>0.032</v>
      </c>
      <c r="C693" s="37">
        <v>0.053</v>
      </c>
      <c r="D693" s="37">
        <v>0.501</v>
      </c>
      <c r="E693" s="37">
        <v>0.763</v>
      </c>
      <c r="F693">
        <v>0.0436</v>
      </c>
      <c r="G693">
        <v>7.4538</v>
      </c>
      <c r="I693" s="38"/>
      <c r="J693" s="39"/>
      <c r="K693" s="39"/>
      <c r="L693" s="39"/>
      <c r="M693" s="39"/>
      <c r="N693" s="40"/>
      <c r="O693" s="40"/>
    </row>
    <row r="694" spans="1:15">
      <c r="A694" s="28" t="s">
        <v>1009</v>
      </c>
      <c r="B694" s="37">
        <v>0.031</v>
      </c>
      <c r="C694" s="37">
        <v>0.046</v>
      </c>
      <c r="D694" s="37">
        <v>0.484</v>
      </c>
      <c r="E694" s="37">
        <v>0.657</v>
      </c>
      <c r="F694">
        <v>0.0436</v>
      </c>
      <c r="G694">
        <v>7.4487</v>
      </c>
      <c r="I694" s="38"/>
      <c r="J694" s="39"/>
      <c r="K694" s="39"/>
      <c r="L694" s="39"/>
      <c r="M694" s="39"/>
      <c r="N694" s="40"/>
      <c r="O694" s="40"/>
    </row>
    <row r="695" spans="1:15">
      <c r="A695" s="28" t="s">
        <v>1010</v>
      </c>
      <c r="B695" s="37">
        <v>0.029</v>
      </c>
      <c r="C695" s="37">
        <v>0.046</v>
      </c>
      <c r="D695" s="37">
        <v>0.465</v>
      </c>
      <c r="E695" s="37">
        <v>0.664</v>
      </c>
      <c r="F695">
        <v>0.0429</v>
      </c>
      <c r="G695">
        <v>7.4184</v>
      </c>
      <c r="I695" s="38"/>
      <c r="J695" s="39"/>
      <c r="K695" s="39"/>
      <c r="L695" s="39"/>
      <c r="M695" s="39"/>
      <c r="N695" s="40"/>
      <c r="O695" s="40"/>
    </row>
    <row r="696" spans="1:15">
      <c r="A696" s="28" t="s">
        <v>1011</v>
      </c>
      <c r="B696" s="37">
        <v>0.029</v>
      </c>
      <c r="C696" s="37">
        <v>0.049</v>
      </c>
      <c r="D696" s="37">
        <v>0.465</v>
      </c>
      <c r="E696" s="37">
        <v>0.716</v>
      </c>
      <c r="F696">
        <v>0.043</v>
      </c>
      <c r="G696">
        <v>7.308</v>
      </c>
      <c r="I696" s="38"/>
      <c r="J696" s="39"/>
      <c r="K696" s="39"/>
      <c r="L696" s="39"/>
      <c r="M696" s="39"/>
      <c r="N696" s="40"/>
      <c r="O696" s="40"/>
    </row>
    <row r="697" spans="1:15">
      <c r="A697" s="28" t="s">
        <v>1012</v>
      </c>
      <c r="B697" s="37">
        <v>0.028</v>
      </c>
      <c r="C697" s="37">
        <v>0.046</v>
      </c>
      <c r="D697" s="37">
        <v>0.444</v>
      </c>
      <c r="E697" s="37">
        <v>0.675</v>
      </c>
      <c r="F697">
        <v>0.0433</v>
      </c>
      <c r="G697">
        <v>7.2546</v>
      </c>
      <c r="I697" s="38"/>
      <c r="J697" s="39"/>
      <c r="K697" s="39"/>
      <c r="L697" s="39"/>
      <c r="M697" s="39"/>
      <c r="N697" s="40"/>
      <c r="O697" s="40"/>
    </row>
    <row r="698" spans="1:15">
      <c r="A698" s="28" t="s">
        <v>1013</v>
      </c>
      <c r="B698" s="37">
        <v>0.029</v>
      </c>
      <c r="C698" s="37">
        <v>0.04</v>
      </c>
      <c r="D698" s="37">
        <v>0.467</v>
      </c>
      <c r="E698" s="37">
        <v>0.586</v>
      </c>
      <c r="F698">
        <v>0.043</v>
      </c>
      <c r="G698">
        <v>7.1991</v>
      </c>
      <c r="I698" s="38"/>
      <c r="J698" s="39"/>
      <c r="K698" s="39"/>
      <c r="L698" s="39"/>
      <c r="M698" s="39"/>
      <c r="N698" s="40"/>
      <c r="O698" s="40"/>
    </row>
    <row r="699" spans="1:15">
      <c r="A699" s="28" t="s">
        <v>1014</v>
      </c>
      <c r="B699" s="37">
        <v>0.028</v>
      </c>
      <c r="C699" s="37">
        <v>0.04</v>
      </c>
      <c r="D699" s="37">
        <v>0.453</v>
      </c>
      <c r="E699" s="37">
        <v>0.588</v>
      </c>
      <c r="F699">
        <v>0.0428</v>
      </c>
      <c r="G699">
        <v>7.1381</v>
      </c>
      <c r="I699" s="38"/>
      <c r="J699" s="39"/>
      <c r="K699" s="39"/>
      <c r="L699" s="39"/>
      <c r="M699" s="39"/>
      <c r="N699" s="40"/>
      <c r="O699" s="40"/>
    </row>
    <row r="700" spans="1:15">
      <c r="A700" s="28" t="s">
        <v>1015</v>
      </c>
      <c r="B700" s="37">
        <v>0.027</v>
      </c>
      <c r="C700" s="37">
        <v>0.042</v>
      </c>
      <c r="D700" s="37">
        <v>0.434</v>
      </c>
      <c r="E700" s="37">
        <v>0.612</v>
      </c>
      <c r="F700">
        <v>0.0428</v>
      </c>
      <c r="G700">
        <v>7.1347</v>
      </c>
      <c r="I700" s="38"/>
      <c r="J700" s="39"/>
      <c r="K700" s="39"/>
      <c r="L700" s="39"/>
      <c r="M700" s="39"/>
      <c r="N700" s="40"/>
      <c r="O700" s="40"/>
    </row>
    <row r="701" spans="1:15">
      <c r="A701" s="28" t="s">
        <v>1016</v>
      </c>
      <c r="B701" s="37">
        <v>0.027</v>
      </c>
      <c r="C701" s="37">
        <v>0.042</v>
      </c>
      <c r="D701" s="37">
        <v>0.435</v>
      </c>
      <c r="E701" s="37">
        <v>0.612</v>
      </c>
      <c r="F701">
        <v>0.0425</v>
      </c>
      <c r="G701">
        <v>7.1061</v>
      </c>
      <c r="I701" s="38"/>
      <c r="J701" s="39"/>
      <c r="K701" s="39"/>
      <c r="L701" s="39"/>
      <c r="M701" s="39"/>
      <c r="N701" s="40"/>
      <c r="O701" s="40"/>
    </row>
    <row r="702" spans="1:15">
      <c r="A702" s="28" t="s">
        <v>1017</v>
      </c>
      <c r="B702" s="37">
        <v>0.025</v>
      </c>
      <c r="C702" s="37">
        <v>0.042</v>
      </c>
      <c r="D702" s="37">
        <v>0.411</v>
      </c>
      <c r="E702" s="37">
        <v>0.618</v>
      </c>
      <c r="F702">
        <v>0.0425</v>
      </c>
      <c r="G702">
        <v>7.0163</v>
      </c>
      <c r="I702" s="38"/>
      <c r="J702" s="39"/>
      <c r="K702" s="39"/>
      <c r="L702" s="39"/>
      <c r="M702" s="39"/>
      <c r="N702" s="40"/>
      <c r="O702" s="40"/>
    </row>
    <row r="703" spans="1:15">
      <c r="A703" s="28" t="s">
        <v>1018</v>
      </c>
      <c r="B703" s="37">
        <v>0.025</v>
      </c>
      <c r="C703" s="37">
        <v>0.042</v>
      </c>
      <c r="D703" s="37">
        <v>0.408</v>
      </c>
      <c r="E703" s="37">
        <v>0.621</v>
      </c>
      <c r="F703">
        <v>0.0425</v>
      </c>
      <c r="G703">
        <v>7.0021</v>
      </c>
      <c r="I703" s="38"/>
      <c r="J703" s="39"/>
      <c r="K703" s="39"/>
      <c r="L703" s="39"/>
      <c r="M703" s="39"/>
      <c r="N703" s="40"/>
      <c r="O703" s="40"/>
    </row>
    <row r="704" spans="1:15">
      <c r="A704" s="28" t="s">
        <v>1019</v>
      </c>
      <c r="B704" s="37">
        <v>0.024</v>
      </c>
      <c r="C704" s="37">
        <v>0.082</v>
      </c>
      <c r="D704" s="37">
        <v>0.39</v>
      </c>
      <c r="E704" s="37">
        <v>1.223</v>
      </c>
      <c r="F704">
        <v>0.0423</v>
      </c>
      <c r="G704">
        <v>6.9598</v>
      </c>
      <c r="I704" s="38"/>
      <c r="J704" s="39"/>
      <c r="K704" s="39"/>
      <c r="L704" s="39"/>
      <c r="M704" s="39"/>
      <c r="N704" s="40"/>
      <c r="O704" s="40"/>
    </row>
    <row r="705" spans="1:15">
      <c r="A705" s="28" t="s">
        <v>1020</v>
      </c>
      <c r="B705" s="37">
        <v>0.026</v>
      </c>
      <c r="C705" s="37">
        <v>0.069</v>
      </c>
      <c r="D705" s="37">
        <v>0.426</v>
      </c>
      <c r="E705" s="37">
        <v>1.027</v>
      </c>
      <c r="F705">
        <v>0.042</v>
      </c>
      <c r="G705">
        <v>6.9738</v>
      </c>
      <c r="I705" s="38"/>
      <c r="J705" s="39"/>
      <c r="K705" s="39"/>
      <c r="L705" s="39"/>
      <c r="M705" s="39"/>
      <c r="N705" s="40"/>
      <c r="O705" s="40"/>
    </row>
    <row r="706" spans="1:15">
      <c r="A706" s="28" t="s">
        <v>1021</v>
      </c>
      <c r="B706" s="37">
        <v>0.026</v>
      </c>
      <c r="C706" s="37">
        <v>0.067</v>
      </c>
      <c r="D706" s="37">
        <v>0.42</v>
      </c>
      <c r="E706" s="37">
        <v>0.999</v>
      </c>
      <c r="F706">
        <v>0.0419</v>
      </c>
      <c r="G706">
        <v>6.9516</v>
      </c>
      <c r="I706" s="38"/>
      <c r="J706" s="39"/>
      <c r="K706" s="39"/>
      <c r="L706" s="39"/>
      <c r="M706" s="39"/>
      <c r="N706" s="40"/>
      <c r="O706" s="40"/>
    </row>
    <row r="707" spans="1:15">
      <c r="A707" s="28" t="s">
        <v>1022</v>
      </c>
      <c r="B707" s="37">
        <v>0.025</v>
      </c>
      <c r="C707" s="37">
        <v>0.072</v>
      </c>
      <c r="D707" s="37">
        <v>0.418</v>
      </c>
      <c r="E707" s="37">
        <v>1.087</v>
      </c>
      <c r="F707">
        <v>0.0416</v>
      </c>
      <c r="G707">
        <v>6.884</v>
      </c>
      <c r="I707" s="38"/>
      <c r="J707" s="39"/>
      <c r="K707" s="39"/>
      <c r="L707" s="39"/>
      <c r="M707" s="39"/>
      <c r="N707" s="40"/>
      <c r="O707" s="40"/>
    </row>
    <row r="708" spans="1:15">
      <c r="A708" s="28" t="s">
        <v>1023</v>
      </c>
      <c r="B708" s="37">
        <v>0.027</v>
      </c>
      <c r="C708" s="37">
        <v>0.069</v>
      </c>
      <c r="D708" s="37">
        <v>0.448</v>
      </c>
      <c r="E708" s="37">
        <v>1.044</v>
      </c>
      <c r="F708">
        <v>0.0416</v>
      </c>
      <c r="G708">
        <v>6.8663</v>
      </c>
      <c r="I708" s="38"/>
      <c r="J708" s="39"/>
      <c r="K708" s="39"/>
      <c r="L708" s="39"/>
      <c r="M708" s="39"/>
      <c r="N708" s="40"/>
      <c r="O708" s="40"/>
    </row>
    <row r="709" spans="1:15">
      <c r="A709" s="28" t="s">
        <v>1024</v>
      </c>
      <c r="B709" s="37">
        <v>0.027</v>
      </c>
      <c r="C709" s="37">
        <v>0.071</v>
      </c>
      <c r="D709" s="37">
        <v>0.45</v>
      </c>
      <c r="E709" s="37">
        <v>1.07</v>
      </c>
      <c r="F709">
        <v>0.0414</v>
      </c>
      <c r="G709">
        <v>6.9044</v>
      </c>
      <c r="I709" s="38"/>
      <c r="J709" s="39"/>
      <c r="K709" s="39"/>
      <c r="L709" s="39"/>
      <c r="M709" s="39"/>
      <c r="N709" s="40"/>
      <c r="O709" s="40"/>
    </row>
    <row r="710" spans="1:15">
      <c r="A710" s="28" t="s">
        <v>1025</v>
      </c>
      <c r="B710" s="37">
        <v>0.028</v>
      </c>
      <c r="C710" s="37">
        <v>0.074</v>
      </c>
      <c r="D710" s="37">
        <v>0.456</v>
      </c>
      <c r="E710" s="37">
        <v>1.13</v>
      </c>
      <c r="F710">
        <v>0.0414</v>
      </c>
      <c r="G710">
        <v>6.8488</v>
      </c>
      <c r="I710" s="38"/>
      <c r="J710" s="39"/>
      <c r="K710" s="39"/>
      <c r="L710" s="39"/>
      <c r="M710" s="39"/>
      <c r="N710" s="40"/>
      <c r="O710" s="40"/>
    </row>
    <row r="711" spans="1:15">
      <c r="A711" s="28" t="s">
        <v>1026</v>
      </c>
      <c r="B711" s="37">
        <v>0.028</v>
      </c>
      <c r="C711" s="37">
        <v>0.074</v>
      </c>
      <c r="D711" s="37">
        <v>0.467</v>
      </c>
      <c r="E711" s="37">
        <v>1.131</v>
      </c>
      <c r="F711">
        <v>0.0411</v>
      </c>
      <c r="G711">
        <v>6.8085</v>
      </c>
      <c r="I711" s="38"/>
      <c r="J711" s="39"/>
      <c r="K711" s="39"/>
      <c r="L711" s="39"/>
      <c r="M711" s="39"/>
      <c r="N711" s="40"/>
      <c r="O711" s="40"/>
    </row>
    <row r="712" spans="1:15">
      <c r="A712" s="28" t="s">
        <v>1027</v>
      </c>
      <c r="B712" s="37">
        <v>0.029</v>
      </c>
      <c r="C712" s="37">
        <v>0.081</v>
      </c>
      <c r="D712" s="37">
        <v>0.475</v>
      </c>
      <c r="E712" s="37">
        <v>1.24</v>
      </c>
      <c r="F712">
        <v>0.041</v>
      </c>
      <c r="G712">
        <v>6.8311</v>
      </c>
      <c r="I712" s="38"/>
      <c r="J712" s="39"/>
      <c r="K712" s="39"/>
      <c r="L712" s="39"/>
      <c r="M712" s="39"/>
      <c r="N712" s="40"/>
      <c r="O712" s="40"/>
    </row>
    <row r="713" spans="1:15">
      <c r="A713" s="28" t="s">
        <v>1028</v>
      </c>
      <c r="B713" s="37">
        <v>0.03</v>
      </c>
      <c r="C713" s="37">
        <v>0.085</v>
      </c>
      <c r="D713" s="37">
        <v>0.492</v>
      </c>
      <c r="E713" s="37">
        <v>1.296</v>
      </c>
      <c r="F713">
        <v>0.0409</v>
      </c>
      <c r="G713">
        <v>6.7628</v>
      </c>
      <c r="I713" s="38"/>
      <c r="J713" s="39"/>
      <c r="K713" s="39"/>
      <c r="L713" s="39"/>
      <c r="M713" s="39"/>
      <c r="N713" s="40"/>
      <c r="O713" s="40"/>
    </row>
    <row r="714" spans="1:15">
      <c r="A714" s="28" t="s">
        <v>1029</v>
      </c>
      <c r="B714" s="37">
        <v>0.031</v>
      </c>
      <c r="C714" s="37">
        <v>0.087</v>
      </c>
      <c r="D714" s="37">
        <v>0.517</v>
      </c>
      <c r="E714" s="37">
        <v>1.331</v>
      </c>
      <c r="F714">
        <v>0.0409</v>
      </c>
      <c r="G714">
        <v>6.843</v>
      </c>
      <c r="I714" s="38"/>
      <c r="J714" s="39"/>
      <c r="K714" s="39"/>
      <c r="L714" s="39"/>
      <c r="M714" s="39"/>
      <c r="N714" s="40"/>
      <c r="O714" s="40"/>
    </row>
    <row r="715" spans="1:15">
      <c r="A715" s="28" t="s">
        <v>1030</v>
      </c>
      <c r="B715" s="37">
        <v>0.035</v>
      </c>
      <c r="C715" s="37">
        <v>0.109</v>
      </c>
      <c r="D715" s="37">
        <v>0.577</v>
      </c>
      <c r="E715" s="37">
        <v>1.685</v>
      </c>
      <c r="F715">
        <v>0.0407</v>
      </c>
      <c r="G715">
        <v>6.7904</v>
      </c>
      <c r="I715" s="38"/>
      <c r="J715" s="39"/>
      <c r="K715" s="39"/>
      <c r="L715" s="39"/>
      <c r="M715" s="39"/>
      <c r="N715" s="40"/>
      <c r="O715" s="40"/>
    </row>
    <row r="716" spans="1:15">
      <c r="A716" s="28" t="s">
        <v>1031</v>
      </c>
      <c r="B716" s="37">
        <v>0.036</v>
      </c>
      <c r="C716" s="37">
        <v>0.107</v>
      </c>
      <c r="D716" s="37">
        <v>0.61</v>
      </c>
      <c r="E716" s="37">
        <v>1.649</v>
      </c>
      <c r="F716">
        <v>0.0406</v>
      </c>
      <c r="G716">
        <v>6.7408</v>
      </c>
      <c r="I716" s="38"/>
      <c r="J716" s="39"/>
      <c r="K716" s="39"/>
      <c r="L716" s="39"/>
      <c r="M716" s="39"/>
      <c r="N716" s="40"/>
      <c r="O716" s="40"/>
    </row>
    <row r="717" spans="1:15">
      <c r="A717" s="28" t="s">
        <v>1032</v>
      </c>
      <c r="B717" s="37">
        <v>0.037</v>
      </c>
      <c r="C717" s="37">
        <v>0.106</v>
      </c>
      <c r="D717" s="37">
        <v>0.625</v>
      </c>
      <c r="E717" s="37">
        <v>1.633</v>
      </c>
      <c r="F717">
        <v>0.0404</v>
      </c>
      <c r="G717">
        <v>6.7111</v>
      </c>
      <c r="I717" s="38"/>
      <c r="J717" s="39"/>
      <c r="K717" s="39"/>
      <c r="L717" s="39"/>
      <c r="M717" s="39"/>
      <c r="N717" s="40"/>
      <c r="O717" s="40"/>
    </row>
    <row r="718" spans="1:15">
      <c r="A718" s="28" t="s">
        <v>1033</v>
      </c>
      <c r="B718" s="37">
        <v>0.037</v>
      </c>
      <c r="C718" s="37">
        <v>0.106</v>
      </c>
      <c r="D718" s="37">
        <v>0.63</v>
      </c>
      <c r="E718" s="37">
        <v>1.646</v>
      </c>
      <c r="F718">
        <v>0.0402</v>
      </c>
      <c r="G718">
        <v>6.6779</v>
      </c>
      <c r="I718" s="38"/>
      <c r="J718" s="39"/>
      <c r="K718" s="39"/>
      <c r="L718" s="39"/>
      <c r="M718" s="39"/>
      <c r="N718" s="40"/>
      <c r="O718" s="40"/>
    </row>
    <row r="719" spans="1:15">
      <c r="A719" s="28" t="s">
        <v>1034</v>
      </c>
      <c r="B719" s="37">
        <v>0.036</v>
      </c>
      <c r="C719" s="37">
        <v>0.102</v>
      </c>
      <c r="D719" s="37">
        <v>0.614</v>
      </c>
      <c r="E719" s="37">
        <v>1.601</v>
      </c>
      <c r="F719">
        <v>0.0401</v>
      </c>
      <c r="G719">
        <v>6.6506</v>
      </c>
      <c r="I719" s="38"/>
      <c r="J719" s="39"/>
      <c r="K719" s="39"/>
      <c r="L719" s="39"/>
      <c r="M719" s="39"/>
      <c r="N719" s="40"/>
      <c r="O719" s="40"/>
    </row>
    <row r="720" spans="1:15">
      <c r="A720" s="28" t="s">
        <v>1035</v>
      </c>
      <c r="B720" s="37">
        <v>0.037</v>
      </c>
      <c r="C720" s="37">
        <v>0.106</v>
      </c>
      <c r="D720" s="37">
        <v>0.624</v>
      </c>
      <c r="E720" s="37">
        <v>1.667</v>
      </c>
      <c r="F720">
        <v>0.0402</v>
      </c>
      <c r="G720">
        <v>6.5765</v>
      </c>
      <c r="I720" s="38"/>
      <c r="J720" s="39"/>
      <c r="K720" s="39"/>
      <c r="L720" s="39"/>
      <c r="M720" s="39"/>
      <c r="N720" s="40"/>
      <c r="O720" s="40"/>
    </row>
    <row r="721" spans="1:15">
      <c r="A721" s="28" t="s">
        <v>1036</v>
      </c>
      <c r="B721" s="37">
        <v>0.039</v>
      </c>
      <c r="C721" s="37">
        <v>0.106</v>
      </c>
      <c r="D721" s="37">
        <v>0.661</v>
      </c>
      <c r="E721" s="37">
        <v>1.671</v>
      </c>
      <c r="F721">
        <v>0.0403</v>
      </c>
      <c r="G721">
        <v>6.6071</v>
      </c>
      <c r="I721" s="38"/>
      <c r="J721" s="39"/>
      <c r="K721" s="39"/>
      <c r="L721" s="39"/>
      <c r="M721" s="39"/>
      <c r="N721" s="40"/>
      <c r="O721" s="40"/>
    </row>
    <row r="722" spans="1:15">
      <c r="A722" s="28" t="s">
        <v>1037</v>
      </c>
      <c r="B722" s="37">
        <v>0.041</v>
      </c>
      <c r="C722" s="37">
        <v>0.084</v>
      </c>
      <c r="D722" s="37">
        <v>0.699</v>
      </c>
      <c r="E722" s="37">
        <v>1.332</v>
      </c>
      <c r="F722">
        <v>0.0398</v>
      </c>
      <c r="G722">
        <v>6.5878</v>
      </c>
      <c r="I722" s="38"/>
      <c r="J722" s="39"/>
      <c r="K722" s="39"/>
      <c r="L722" s="39"/>
      <c r="M722" s="39"/>
      <c r="N722" s="40"/>
      <c r="O722" s="40"/>
    </row>
    <row r="723" spans="1:15">
      <c r="A723" s="28" t="s">
        <v>1038</v>
      </c>
      <c r="B723" s="37">
        <v>0.04</v>
      </c>
      <c r="C723" s="37">
        <v>0.081</v>
      </c>
      <c r="D723" s="37">
        <v>0.69</v>
      </c>
      <c r="E723" s="37">
        <v>1.266</v>
      </c>
      <c r="F723">
        <v>0.0399</v>
      </c>
      <c r="G723">
        <v>6.5708</v>
      </c>
      <c r="I723" s="38"/>
      <c r="J723" s="39"/>
      <c r="K723" s="39"/>
      <c r="L723" s="39"/>
      <c r="M723" s="39"/>
      <c r="N723" s="40"/>
      <c r="O723" s="40"/>
    </row>
    <row r="724" spans="1:15">
      <c r="A724" s="28" t="s">
        <v>1039</v>
      </c>
      <c r="B724" s="37">
        <v>0.04</v>
      </c>
      <c r="C724" s="37">
        <v>0.081</v>
      </c>
      <c r="D724" s="37">
        <v>0.682</v>
      </c>
      <c r="E724" s="37">
        <v>1.258</v>
      </c>
      <c r="F724">
        <v>0.0399</v>
      </c>
      <c r="G724">
        <v>6.5125</v>
      </c>
      <c r="I724" s="38"/>
      <c r="J724" s="39"/>
      <c r="K724" s="39"/>
      <c r="L724" s="39"/>
      <c r="M724" s="39"/>
      <c r="N724" s="40"/>
      <c r="O724" s="40"/>
    </row>
    <row r="725" spans="1:15">
      <c r="A725" s="28" t="s">
        <v>1040</v>
      </c>
      <c r="B725" s="37">
        <v>0.041</v>
      </c>
      <c r="C725" s="37">
        <v>0.081</v>
      </c>
      <c r="D725" s="37">
        <v>0.708</v>
      </c>
      <c r="E725" s="37">
        <v>1.261</v>
      </c>
      <c r="F725">
        <v>0.0399</v>
      </c>
      <c r="G725">
        <v>6.4518</v>
      </c>
      <c r="I725" s="38"/>
      <c r="J725" s="39"/>
      <c r="K725" s="39"/>
      <c r="L725" s="39"/>
      <c r="M725" s="39"/>
      <c r="N725" s="40"/>
      <c r="O725" s="40"/>
    </row>
    <row r="726" spans="1:15">
      <c r="A726" s="28" t="s">
        <v>1041</v>
      </c>
      <c r="B726" s="37">
        <v>0.041</v>
      </c>
      <c r="C726" s="37">
        <v>0.083</v>
      </c>
      <c r="D726" s="37">
        <v>0.708</v>
      </c>
      <c r="E726" s="37">
        <v>1.291</v>
      </c>
      <c r="F726">
        <v>0.0404</v>
      </c>
      <c r="G726">
        <v>6.4649</v>
      </c>
      <c r="I726" s="38"/>
      <c r="J726" s="39"/>
      <c r="K726" s="39"/>
      <c r="L726" s="39"/>
      <c r="M726" s="39"/>
      <c r="N726" s="40"/>
      <c r="O726" s="40"/>
    </row>
    <row r="727" spans="1:15">
      <c r="A727" s="28" t="s">
        <v>1042</v>
      </c>
      <c r="B727" s="37">
        <v>0.04</v>
      </c>
      <c r="C727" s="37">
        <v>0.057</v>
      </c>
      <c r="D727" s="37">
        <v>0.697</v>
      </c>
      <c r="E727" s="37">
        <v>0.901</v>
      </c>
      <c r="F727">
        <v>0.0408</v>
      </c>
      <c r="G727">
        <v>6.4716</v>
      </c>
      <c r="I727" s="38"/>
      <c r="J727" s="39"/>
      <c r="K727" s="39"/>
      <c r="L727" s="39"/>
      <c r="M727" s="39"/>
      <c r="N727" s="40"/>
      <c r="O727" s="40"/>
    </row>
    <row r="728" spans="1:15">
      <c r="A728" s="28" t="s">
        <v>1043</v>
      </c>
      <c r="B728" s="37">
        <v>0.041</v>
      </c>
      <c r="C728" s="37">
        <v>0.059</v>
      </c>
      <c r="D728" s="37">
        <v>0.699</v>
      </c>
      <c r="E728" s="37">
        <v>0.938</v>
      </c>
      <c r="F728">
        <v>0.0406</v>
      </c>
      <c r="G728">
        <v>6.4852</v>
      </c>
      <c r="I728" s="38"/>
      <c r="J728" s="39"/>
      <c r="K728" s="39"/>
      <c r="L728" s="39"/>
      <c r="M728" s="39"/>
      <c r="N728" s="40"/>
      <c r="O728" s="40"/>
    </row>
    <row r="729" spans="1:15">
      <c r="A729" s="28" t="s">
        <v>1044</v>
      </c>
      <c r="B729" s="37">
        <v>0.041</v>
      </c>
      <c r="C729" s="37">
        <v>0.057</v>
      </c>
      <c r="D729" s="37">
        <v>0.702</v>
      </c>
      <c r="E729" s="37">
        <v>0.907</v>
      </c>
      <c r="F729">
        <v>0.0406</v>
      </c>
      <c r="G729">
        <v>6.4665</v>
      </c>
      <c r="I729" s="38"/>
      <c r="J729" s="39"/>
      <c r="K729" s="39"/>
      <c r="L729" s="39"/>
      <c r="M729" s="39"/>
      <c r="N729" s="40"/>
      <c r="O729" s="40"/>
    </row>
    <row r="730" spans="1:15">
      <c r="A730" s="28" t="s">
        <v>1045</v>
      </c>
      <c r="B730" s="37">
        <v>0.041</v>
      </c>
      <c r="C730" s="37">
        <v>0.057</v>
      </c>
      <c r="D730" s="37">
        <v>0.71</v>
      </c>
      <c r="E730" s="37">
        <v>0.919</v>
      </c>
      <c r="F730">
        <v>0.0406</v>
      </c>
      <c r="G730">
        <v>6.4773</v>
      </c>
      <c r="I730" s="38"/>
      <c r="J730" s="39"/>
      <c r="K730" s="39"/>
      <c r="L730" s="39"/>
      <c r="M730" s="39"/>
      <c r="N730" s="40"/>
      <c r="O730" s="40"/>
    </row>
    <row r="731" spans="1:15">
      <c r="A731" s="28" t="s">
        <v>1046</v>
      </c>
      <c r="B731" s="37">
        <v>0.043</v>
      </c>
      <c r="C731" s="37">
        <v>0.026</v>
      </c>
      <c r="D731" s="37">
        <v>0.745</v>
      </c>
      <c r="E731" s="37">
        <v>0.413</v>
      </c>
      <c r="F731">
        <v>0.0408</v>
      </c>
      <c r="G731">
        <v>6.4897</v>
      </c>
      <c r="I731" s="38"/>
      <c r="J731" s="39"/>
      <c r="K731" s="39"/>
      <c r="L731" s="39"/>
      <c r="M731" s="39"/>
      <c r="N731" s="40"/>
      <c r="O731" s="40"/>
    </row>
    <row r="732" spans="1:15">
      <c r="A732" s="28" t="s">
        <v>1047</v>
      </c>
      <c r="B732" s="37">
        <v>0.044</v>
      </c>
      <c r="C732" s="37">
        <v>0.042</v>
      </c>
      <c r="D732" s="37">
        <v>0.759</v>
      </c>
      <c r="E732" s="37">
        <v>0.676</v>
      </c>
      <c r="F732">
        <v>0.0406</v>
      </c>
      <c r="G732">
        <v>6.4665</v>
      </c>
      <c r="I732" s="38"/>
      <c r="J732" s="39"/>
      <c r="K732" s="39"/>
      <c r="L732" s="39"/>
      <c r="M732" s="39"/>
      <c r="N732" s="40"/>
      <c r="O732" s="40"/>
    </row>
    <row r="733" spans="1:15">
      <c r="A733" s="28" t="s">
        <v>1048</v>
      </c>
      <c r="B733" s="37">
        <v>0.045</v>
      </c>
      <c r="C733" s="37">
        <v>0.045</v>
      </c>
      <c r="D733" s="37">
        <v>0.771</v>
      </c>
      <c r="E733" s="37">
        <v>0.714</v>
      </c>
      <c r="F733">
        <v>0.0409</v>
      </c>
      <c r="G733">
        <v>6.4817</v>
      </c>
      <c r="I733" s="38"/>
      <c r="J733" s="39"/>
      <c r="K733" s="39"/>
      <c r="L733" s="39"/>
      <c r="M733" s="39"/>
      <c r="N733" s="40"/>
      <c r="O733" s="40"/>
    </row>
    <row r="734" spans="1:15">
      <c r="A734" s="28" t="s">
        <v>1049</v>
      </c>
      <c r="B734" s="37">
        <v>0.045</v>
      </c>
      <c r="C734" s="37">
        <v>0.044</v>
      </c>
      <c r="D734" s="37">
        <v>0.774</v>
      </c>
      <c r="E734" s="37">
        <v>0.691</v>
      </c>
      <c r="F734">
        <v>0.041</v>
      </c>
      <c r="G734">
        <v>6.4739</v>
      </c>
      <c r="I734" s="38"/>
      <c r="J734" s="39"/>
      <c r="K734" s="39"/>
      <c r="L734" s="39"/>
      <c r="M734" s="39"/>
      <c r="N734" s="40"/>
      <c r="O734" s="40"/>
    </row>
    <row r="735" spans="1:15">
      <c r="A735" s="28" t="s">
        <v>1050</v>
      </c>
      <c r="B735" s="37">
        <v>0.046</v>
      </c>
      <c r="C735" s="37">
        <v>0.052</v>
      </c>
      <c r="D735" s="37">
        <v>0.793</v>
      </c>
      <c r="E735" s="37">
        <v>0.833</v>
      </c>
      <c r="F735">
        <v>0.0409</v>
      </c>
      <c r="G735">
        <v>6.4397</v>
      </c>
      <c r="I735" s="38"/>
      <c r="J735" s="39"/>
      <c r="K735" s="39"/>
      <c r="L735" s="39"/>
      <c r="M735" s="39"/>
      <c r="N735" s="40"/>
      <c r="O735" s="40"/>
    </row>
    <row r="736" spans="1:15">
      <c r="A736" s="28" t="s">
        <v>1051</v>
      </c>
      <c r="B736" s="37">
        <v>0.045</v>
      </c>
      <c r="C736" s="37">
        <v>0.052</v>
      </c>
      <c r="D736" s="37">
        <v>0.79</v>
      </c>
      <c r="E736" s="37">
        <v>0.839</v>
      </c>
      <c r="F736">
        <v>0.0408</v>
      </c>
      <c r="G736">
        <v>6.4737</v>
      </c>
      <c r="I736" s="38"/>
      <c r="J736" s="39"/>
      <c r="K736" s="39"/>
      <c r="L736" s="39"/>
      <c r="M736" s="39"/>
      <c r="N736" s="40"/>
      <c r="O736" s="40"/>
    </row>
    <row r="737" spans="1:15">
      <c r="A737" s="28" t="s">
        <v>1052</v>
      </c>
      <c r="B737" s="37">
        <v>0.046</v>
      </c>
      <c r="C737" s="37">
        <v>0.052</v>
      </c>
      <c r="D737" s="37">
        <v>0.809</v>
      </c>
      <c r="E737" s="37">
        <v>0.839</v>
      </c>
      <c r="F737">
        <v>0.0409</v>
      </c>
      <c r="G737">
        <v>6.4365</v>
      </c>
      <c r="I737" s="38"/>
      <c r="J737" s="39"/>
      <c r="K737" s="39"/>
      <c r="L737" s="39"/>
      <c r="M737" s="39"/>
      <c r="N737" s="40"/>
      <c r="O737" s="40"/>
    </row>
    <row r="738" spans="1:15">
      <c r="A738" s="28" t="s">
        <v>1053</v>
      </c>
      <c r="B738" s="37">
        <v>0.049</v>
      </c>
      <c r="C738" s="37">
        <v>0.074</v>
      </c>
      <c r="D738" s="37">
        <v>0.848</v>
      </c>
      <c r="E738" s="37">
        <v>1.186</v>
      </c>
      <c r="F738">
        <v>0.0408</v>
      </c>
      <c r="G738">
        <v>6.4145</v>
      </c>
      <c r="I738" s="38"/>
      <c r="J738" s="39"/>
      <c r="K738" s="39"/>
      <c r="L738" s="39"/>
      <c r="M738" s="39"/>
      <c r="N738" s="40"/>
      <c r="O738" s="40"/>
    </row>
    <row r="739" spans="1:15">
      <c r="A739" s="28" t="s">
        <v>1054</v>
      </c>
      <c r="B739" s="37">
        <v>0.05</v>
      </c>
      <c r="C739" s="37">
        <v>0.074</v>
      </c>
      <c r="D739" s="37">
        <v>0.87</v>
      </c>
      <c r="E739" s="37">
        <v>1.188</v>
      </c>
      <c r="F739">
        <v>0.0411</v>
      </c>
      <c r="G739">
        <v>6.3775</v>
      </c>
      <c r="I739" s="38"/>
      <c r="J739" s="39"/>
      <c r="K739" s="39"/>
      <c r="L739" s="39"/>
      <c r="M739" s="39"/>
      <c r="N739" s="40"/>
      <c r="O739" s="40"/>
    </row>
    <row r="740" spans="1:15">
      <c r="A740" s="28" t="s">
        <v>1055</v>
      </c>
      <c r="B740" s="37">
        <v>0.049</v>
      </c>
      <c r="C740" s="37">
        <v>0.074</v>
      </c>
      <c r="D740" s="37">
        <v>0.858</v>
      </c>
      <c r="E740" s="37">
        <v>1.189</v>
      </c>
      <c r="F740">
        <v>0.0412</v>
      </c>
      <c r="G740">
        <v>6.3836</v>
      </c>
      <c r="I740" s="38"/>
      <c r="J740" s="39"/>
      <c r="K740" s="39"/>
      <c r="L740" s="39"/>
      <c r="M740" s="39"/>
      <c r="N740" s="40"/>
      <c r="O740" s="40"/>
    </row>
    <row r="741" spans="1:15">
      <c r="A741" s="28" t="s">
        <v>1056</v>
      </c>
      <c r="B741" s="37">
        <v>0.049</v>
      </c>
      <c r="C741" s="37">
        <v>0.075</v>
      </c>
      <c r="D741" s="37">
        <v>0.856</v>
      </c>
      <c r="E741" s="37">
        <v>1.218</v>
      </c>
      <c r="F741">
        <v>0.0411</v>
      </c>
      <c r="G741">
        <v>6.4143</v>
      </c>
      <c r="I741" s="38"/>
      <c r="J741" s="39"/>
      <c r="K741" s="39"/>
      <c r="L741" s="39"/>
      <c r="M741" s="39"/>
      <c r="N741" s="40"/>
      <c r="O741" s="40"/>
    </row>
    <row r="742" spans="1:15">
      <c r="A742" s="28" t="s">
        <v>1057</v>
      </c>
      <c r="B742" s="37">
        <v>0.05</v>
      </c>
      <c r="C742" s="37">
        <v>0.036</v>
      </c>
      <c r="D742" s="37">
        <v>0.876</v>
      </c>
      <c r="E742" s="37">
        <v>0.587</v>
      </c>
      <c r="F742">
        <v>0.041</v>
      </c>
      <c r="G742">
        <v>6.4428</v>
      </c>
      <c r="I742" s="38"/>
      <c r="J742" s="39"/>
      <c r="K742" s="39"/>
      <c r="L742" s="39"/>
      <c r="M742" s="39"/>
      <c r="N742" s="40"/>
      <c r="O742" s="40"/>
    </row>
    <row r="743" spans="1:15">
      <c r="A743" s="28" t="s">
        <v>1058</v>
      </c>
      <c r="B743" s="37">
        <v>0.052</v>
      </c>
      <c r="C743" s="37">
        <v>0.021</v>
      </c>
      <c r="D743" s="37">
        <v>0.902</v>
      </c>
      <c r="E743" s="37">
        <v>0.333</v>
      </c>
      <c r="F743">
        <v>0.0408</v>
      </c>
      <c r="G743">
        <v>6.4051</v>
      </c>
      <c r="I743" s="38"/>
      <c r="J743" s="39"/>
      <c r="K743" s="39"/>
      <c r="L743" s="39"/>
      <c r="M743" s="39"/>
      <c r="N743" s="40"/>
      <c r="O743" s="40"/>
    </row>
    <row r="744" spans="1:15">
      <c r="A744" s="28" t="s">
        <v>1059</v>
      </c>
      <c r="B744" s="37">
        <v>0.053</v>
      </c>
      <c r="C744" s="37">
        <v>0.019</v>
      </c>
      <c r="D744" s="37">
        <v>0.922</v>
      </c>
      <c r="E744" s="37">
        <v>0.301</v>
      </c>
      <c r="F744">
        <v>0.0405</v>
      </c>
      <c r="G744">
        <v>6.4286</v>
      </c>
      <c r="I744" s="38"/>
      <c r="J744" s="39"/>
      <c r="K744" s="39"/>
      <c r="L744" s="39"/>
      <c r="M744" s="39"/>
      <c r="N744" s="40"/>
      <c r="O744" s="40"/>
    </row>
    <row r="745" spans="1:15">
      <c r="A745" s="28" t="s">
        <v>1060</v>
      </c>
      <c r="B745" s="37">
        <v>0.05</v>
      </c>
      <c r="C745" s="37">
        <v>0.019</v>
      </c>
      <c r="D745" s="37">
        <v>0.867</v>
      </c>
      <c r="E745" s="37">
        <v>0.302</v>
      </c>
      <c r="F745">
        <v>0.0405</v>
      </c>
      <c r="G745">
        <v>6.4301</v>
      </c>
      <c r="I745" s="38"/>
      <c r="J745" s="39"/>
      <c r="K745" s="39"/>
      <c r="L745" s="39"/>
      <c r="M745" s="39"/>
      <c r="N745" s="40"/>
      <c r="O745" s="40"/>
    </row>
    <row r="746" spans="1:15">
      <c r="A746" s="28" t="s">
        <v>1061</v>
      </c>
      <c r="B746" s="37">
        <v>0.046</v>
      </c>
      <c r="C746" s="37">
        <v>0.019</v>
      </c>
      <c r="D746" s="37">
        <v>0.805</v>
      </c>
      <c r="E746" s="37">
        <v>0.303</v>
      </c>
      <c r="F746">
        <v>0.0404</v>
      </c>
      <c r="G746">
        <v>6.3908</v>
      </c>
      <c r="I746" s="38"/>
      <c r="J746" s="39"/>
      <c r="K746" s="39"/>
      <c r="L746" s="39"/>
      <c r="M746" s="39"/>
      <c r="N746" s="40"/>
      <c r="O746" s="40"/>
    </row>
    <row r="747" spans="1:15">
      <c r="A747" s="28" t="s">
        <v>1062</v>
      </c>
      <c r="B747" s="37">
        <v>0.043</v>
      </c>
      <c r="C747" s="37">
        <v>0.019</v>
      </c>
      <c r="D747" s="37">
        <v>0.759</v>
      </c>
      <c r="E747" s="37">
        <v>0.303</v>
      </c>
      <c r="F747">
        <v>0.0403</v>
      </c>
      <c r="G747">
        <v>6.3975</v>
      </c>
      <c r="I747" s="38"/>
      <c r="J747" s="39"/>
      <c r="K747" s="39"/>
      <c r="L747" s="39"/>
      <c r="M747" s="39"/>
      <c r="N747" s="40"/>
      <c r="O747" s="40"/>
    </row>
    <row r="748" spans="1:15">
      <c r="A748" s="28" t="s">
        <v>1063</v>
      </c>
      <c r="B748" s="37">
        <v>0.041</v>
      </c>
      <c r="C748" s="37">
        <v>0.025</v>
      </c>
      <c r="D748" s="37">
        <v>0.713</v>
      </c>
      <c r="E748" s="37">
        <v>0.403</v>
      </c>
      <c r="F748">
        <v>0.0399</v>
      </c>
      <c r="G748">
        <v>6.3847</v>
      </c>
      <c r="I748" s="38"/>
      <c r="J748" s="39"/>
      <c r="K748" s="39"/>
      <c r="L748" s="39"/>
      <c r="M748" s="39"/>
      <c r="N748" s="40"/>
      <c r="O748" s="40"/>
    </row>
    <row r="749" spans="1:15">
      <c r="A749" s="28" t="s">
        <v>1064</v>
      </c>
      <c r="B749" s="37">
        <v>0.041</v>
      </c>
      <c r="C749" s="37">
        <v>0.025</v>
      </c>
      <c r="D749" s="37">
        <v>0.719</v>
      </c>
      <c r="E749" s="37">
        <v>0.402</v>
      </c>
      <c r="F749">
        <v>0.0397</v>
      </c>
      <c r="G749">
        <v>6.4175</v>
      </c>
      <c r="I749" s="38"/>
      <c r="J749" s="39"/>
      <c r="K749" s="39"/>
      <c r="L749" s="39"/>
      <c r="M749" s="39"/>
      <c r="N749" s="40"/>
      <c r="O749" s="40"/>
    </row>
    <row r="750" spans="1:15">
      <c r="A750" s="28" t="s">
        <v>1065</v>
      </c>
      <c r="B750" s="37">
        <v>0.041</v>
      </c>
      <c r="C750" s="37">
        <v>0.025</v>
      </c>
      <c r="D750" s="37">
        <v>0.722</v>
      </c>
      <c r="E750" s="37">
        <v>0.406</v>
      </c>
      <c r="F750">
        <v>0.0393</v>
      </c>
      <c r="G750">
        <v>6.4665</v>
      </c>
      <c r="I750" s="38"/>
      <c r="J750" s="39"/>
      <c r="K750" s="39"/>
      <c r="L750" s="39"/>
      <c r="M750" s="39"/>
      <c r="N750" s="40"/>
      <c r="O750" s="40"/>
    </row>
    <row r="751" spans="1:15">
      <c r="A751" s="28" t="s">
        <v>1066</v>
      </c>
      <c r="B751" s="37">
        <v>0.04</v>
      </c>
      <c r="C751" s="37">
        <v>0.026</v>
      </c>
      <c r="D751" s="37">
        <v>0.699</v>
      </c>
      <c r="E751" s="37">
        <v>0.426</v>
      </c>
      <c r="F751">
        <v>0.0393</v>
      </c>
      <c r="G751">
        <v>6.4662</v>
      </c>
      <c r="I751" s="38"/>
      <c r="J751" s="39"/>
      <c r="K751" s="39"/>
      <c r="L751" s="39"/>
      <c r="M751" s="39"/>
      <c r="N751" s="40"/>
      <c r="O751" s="40"/>
    </row>
    <row r="752" spans="1:15">
      <c r="A752" s="28" t="s">
        <v>1067</v>
      </c>
      <c r="B752" s="37">
        <v>0.038</v>
      </c>
      <c r="C752" s="37">
        <v>0.026</v>
      </c>
      <c r="D752" s="37">
        <v>0.669</v>
      </c>
      <c r="E752" s="37">
        <v>0.427</v>
      </c>
      <c r="F752">
        <v>0.0393</v>
      </c>
      <c r="G752">
        <v>6.4094</v>
      </c>
      <c r="I752" s="38"/>
      <c r="J752" s="39"/>
      <c r="K752" s="39"/>
      <c r="L752" s="39"/>
      <c r="M752" s="39"/>
      <c r="N752" s="40"/>
      <c r="O752" s="40"/>
    </row>
    <row r="753" spans="1:15">
      <c r="A753" s="28" t="s">
        <v>1068</v>
      </c>
      <c r="B753" s="37">
        <v>0.039</v>
      </c>
      <c r="C753" s="37">
        <v>0.026</v>
      </c>
      <c r="D753" s="37">
        <v>0.694</v>
      </c>
      <c r="E753" s="37">
        <v>0.427</v>
      </c>
      <c r="F753">
        <v>0.0394</v>
      </c>
      <c r="G753">
        <v>6.4757</v>
      </c>
      <c r="I753" s="38"/>
      <c r="J753" s="39"/>
      <c r="K753" s="39"/>
      <c r="L753" s="39"/>
      <c r="M753" s="39"/>
      <c r="N753" s="40"/>
      <c r="O753" s="40"/>
    </row>
    <row r="754" spans="1:15">
      <c r="A754" s="28" t="s">
        <v>1069</v>
      </c>
      <c r="B754" s="37">
        <v>0.04</v>
      </c>
      <c r="C754" s="37">
        <v>0.054</v>
      </c>
      <c r="D754" s="37">
        <v>0.711</v>
      </c>
      <c r="E754" s="37">
        <v>0.892</v>
      </c>
      <c r="F754">
        <v>0.0396</v>
      </c>
      <c r="G754">
        <v>6.3971</v>
      </c>
      <c r="I754" s="38"/>
      <c r="J754" s="39"/>
      <c r="K754" s="39"/>
      <c r="L754" s="39"/>
      <c r="M754" s="39"/>
      <c r="N754" s="40"/>
      <c r="O754" s="40"/>
    </row>
    <row r="755" spans="1:15">
      <c r="A755" s="28" t="s">
        <v>1070</v>
      </c>
      <c r="B755" s="37">
        <v>0.043</v>
      </c>
      <c r="C755" s="37">
        <v>0.058</v>
      </c>
      <c r="D755" s="37">
        <v>0.751</v>
      </c>
      <c r="E755" s="37">
        <v>0.956</v>
      </c>
      <c r="F755">
        <v>0.0397</v>
      </c>
      <c r="G755">
        <v>6.4051</v>
      </c>
      <c r="I755" s="38"/>
      <c r="J755" s="39"/>
      <c r="K755" s="39"/>
      <c r="L755" s="39"/>
      <c r="M755" s="39"/>
      <c r="N755" s="40"/>
      <c r="O755" s="40"/>
    </row>
    <row r="756" spans="1:15">
      <c r="A756" s="28" t="s">
        <v>1071</v>
      </c>
      <c r="B756" s="37">
        <v>0.043</v>
      </c>
      <c r="C756" s="37">
        <v>0.042</v>
      </c>
      <c r="D756" s="37">
        <v>0.767</v>
      </c>
      <c r="E756" s="37">
        <v>0.709</v>
      </c>
      <c r="F756">
        <v>0.0397</v>
      </c>
      <c r="G756">
        <v>6.4419</v>
      </c>
      <c r="I756" s="38"/>
      <c r="J756" s="39"/>
      <c r="K756" s="39"/>
      <c r="L756" s="39"/>
      <c r="M756" s="39"/>
      <c r="N756" s="40"/>
      <c r="O756" s="40"/>
    </row>
    <row r="757" spans="1:15">
      <c r="A757" s="28" t="s">
        <v>1072</v>
      </c>
      <c r="B757" s="37">
        <v>0.044</v>
      </c>
      <c r="C757" s="37">
        <v>0.049</v>
      </c>
      <c r="D757" s="37">
        <v>0.774</v>
      </c>
      <c r="E757" s="37">
        <v>0.813</v>
      </c>
      <c r="F757">
        <v>0.0396</v>
      </c>
      <c r="G757">
        <v>6.3432</v>
      </c>
      <c r="I757" s="38"/>
      <c r="J757" s="39"/>
      <c r="K757" s="39"/>
      <c r="L757" s="39"/>
      <c r="M757" s="39"/>
      <c r="N757" s="40"/>
      <c r="O757" s="40"/>
    </row>
    <row r="758" spans="1:15">
      <c r="A758" s="28" t="s">
        <v>1073</v>
      </c>
      <c r="B758" s="37">
        <v>0.044</v>
      </c>
      <c r="C758" s="37">
        <v>0.054</v>
      </c>
      <c r="D758" s="37">
        <v>0.773</v>
      </c>
      <c r="E758" s="37">
        <v>0.895</v>
      </c>
      <c r="F758">
        <v>0.0395</v>
      </c>
      <c r="G758">
        <v>6.3967</v>
      </c>
      <c r="I758" s="38"/>
      <c r="J758" s="39"/>
      <c r="K758" s="39"/>
      <c r="L758" s="39"/>
      <c r="M758" s="39"/>
      <c r="N758" s="40"/>
      <c r="O758" s="40"/>
    </row>
    <row r="759" spans="1:15">
      <c r="A759" s="28" t="s">
        <v>1074</v>
      </c>
      <c r="B759" s="37">
        <v>0.044</v>
      </c>
      <c r="C759" s="37">
        <v>0.054</v>
      </c>
      <c r="D759" s="37">
        <v>0.772</v>
      </c>
      <c r="E759" s="37">
        <v>0.893</v>
      </c>
      <c r="F759">
        <v>0.0395</v>
      </c>
      <c r="G759">
        <v>6.3594</v>
      </c>
      <c r="I759" s="38"/>
      <c r="J759" s="39"/>
      <c r="K759" s="39"/>
      <c r="L759" s="39"/>
      <c r="M759" s="39"/>
      <c r="N759" s="40"/>
      <c r="O759" s="40"/>
    </row>
    <row r="760" spans="1:15">
      <c r="A760" s="28" t="s">
        <v>1075</v>
      </c>
      <c r="B760" s="37">
        <v>0.043</v>
      </c>
      <c r="C760" s="37">
        <v>0.05</v>
      </c>
      <c r="D760" s="37">
        <v>0.75</v>
      </c>
      <c r="E760" s="37">
        <v>0.842</v>
      </c>
      <c r="F760">
        <v>0.0395</v>
      </c>
      <c r="G760">
        <v>6.3471</v>
      </c>
      <c r="I760" s="38"/>
      <c r="J760" s="39"/>
      <c r="K760" s="39"/>
      <c r="L760" s="39"/>
      <c r="M760" s="39"/>
      <c r="N760" s="40"/>
      <c r="O760" s="40"/>
    </row>
    <row r="761" spans="1:15">
      <c r="A761" s="28" t="s">
        <v>1076</v>
      </c>
      <c r="B761" s="37">
        <v>0.042</v>
      </c>
      <c r="C761" s="37">
        <v>0.05</v>
      </c>
      <c r="D761" s="37">
        <v>0.743</v>
      </c>
      <c r="E761" s="37">
        <v>0.844</v>
      </c>
      <c r="F761">
        <v>0.0394</v>
      </c>
      <c r="G761">
        <v>6.3034</v>
      </c>
      <c r="I761" s="38"/>
      <c r="J761" s="39"/>
      <c r="K761" s="39"/>
      <c r="L761" s="39"/>
      <c r="M761" s="39"/>
      <c r="N761" s="40"/>
      <c r="O761" s="40"/>
    </row>
    <row r="762" spans="1:15">
      <c r="A762" s="28" t="s">
        <v>1077</v>
      </c>
      <c r="B762" s="37">
        <v>0.041</v>
      </c>
      <c r="C762" s="37">
        <v>0.054</v>
      </c>
      <c r="D762" s="37">
        <v>0.72</v>
      </c>
      <c r="E762" s="37">
        <v>0.899</v>
      </c>
      <c r="F762">
        <v>0.0392</v>
      </c>
      <c r="G762">
        <v>6.2888</v>
      </c>
      <c r="I762" s="38"/>
      <c r="J762" s="39"/>
      <c r="K762" s="39"/>
      <c r="L762" s="39"/>
      <c r="M762" s="39"/>
      <c r="N762" s="40"/>
      <c r="O762" s="40"/>
    </row>
    <row r="763" spans="1:15">
      <c r="A763" s="28" t="s">
        <v>1078</v>
      </c>
      <c r="B763" s="37">
        <v>0.043</v>
      </c>
      <c r="C763" s="37">
        <v>0.054</v>
      </c>
      <c r="D763" s="37">
        <v>0.757</v>
      </c>
      <c r="E763" s="37">
        <v>0.895</v>
      </c>
      <c r="F763">
        <v>0.0393</v>
      </c>
      <c r="G763">
        <v>6.2664</v>
      </c>
      <c r="I763" s="38"/>
      <c r="J763" s="39"/>
      <c r="K763" s="39"/>
      <c r="L763" s="39"/>
      <c r="M763" s="39"/>
      <c r="N763" s="40"/>
      <c r="O763" s="40"/>
    </row>
    <row r="764" spans="1:15">
      <c r="A764" s="28" t="s">
        <v>1079</v>
      </c>
      <c r="B764" s="37">
        <v>0.045</v>
      </c>
      <c r="C764" s="37">
        <v>0.054</v>
      </c>
      <c r="D764" s="37">
        <v>0.797</v>
      </c>
      <c r="E764" s="37">
        <v>0.887</v>
      </c>
      <c r="F764">
        <v>0.0392</v>
      </c>
      <c r="G764">
        <v>6.2042</v>
      </c>
      <c r="I764" s="38"/>
      <c r="J764" s="39"/>
      <c r="K764" s="39"/>
      <c r="L764" s="39"/>
      <c r="M764" s="39"/>
      <c r="N764" s="40"/>
      <c r="O764" s="40"/>
    </row>
    <row r="765" spans="1:15">
      <c r="A765" s="28" t="s">
        <v>1080</v>
      </c>
      <c r="B765" s="37">
        <v>0.045</v>
      </c>
      <c r="C765" s="37">
        <v>0.054</v>
      </c>
      <c r="D765" s="37">
        <v>0.798</v>
      </c>
      <c r="E765" s="37">
        <v>0.881</v>
      </c>
      <c r="F765">
        <v>0.0391</v>
      </c>
      <c r="G765">
        <v>6.217</v>
      </c>
      <c r="I765" s="38"/>
      <c r="J765" s="39"/>
      <c r="K765" s="39"/>
      <c r="L765" s="39"/>
      <c r="M765" s="39"/>
      <c r="N765" s="40"/>
      <c r="O765" s="40"/>
    </row>
    <row r="766" spans="1:15">
      <c r="A766" s="28" t="s">
        <v>1081</v>
      </c>
      <c r="B766" s="37">
        <v>0.046</v>
      </c>
      <c r="C766" s="37">
        <v>0.054</v>
      </c>
      <c r="D766" s="37">
        <v>0.814</v>
      </c>
      <c r="E766" s="37">
        <v>0.882</v>
      </c>
      <c r="F766">
        <v>0.0391</v>
      </c>
      <c r="G766">
        <v>6.2411</v>
      </c>
      <c r="I766" s="38"/>
      <c r="J766" s="39"/>
      <c r="K766" s="39"/>
      <c r="L766" s="39"/>
      <c r="M766" s="39"/>
      <c r="N766" s="40"/>
      <c r="O766" s="40"/>
    </row>
    <row r="767" spans="1:15">
      <c r="A767" s="28" t="s">
        <v>1082</v>
      </c>
      <c r="B767" s="37">
        <v>0.046</v>
      </c>
      <c r="C767" s="37">
        <v>0.053</v>
      </c>
      <c r="D767" s="37">
        <v>0.815</v>
      </c>
      <c r="E767" s="37">
        <v>0.869</v>
      </c>
      <c r="F767">
        <v>0.0395</v>
      </c>
      <c r="G767">
        <v>6.2688</v>
      </c>
      <c r="I767" s="38"/>
      <c r="J767" s="39"/>
      <c r="K767" s="39"/>
      <c r="L767" s="39"/>
      <c r="M767" s="39"/>
      <c r="N767" s="40"/>
      <c r="O767" s="40"/>
    </row>
    <row r="768" spans="1:15">
      <c r="A768" s="28" t="s">
        <v>1083</v>
      </c>
      <c r="B768" s="37">
        <v>0.048</v>
      </c>
      <c r="C768" s="37">
        <v>0.053</v>
      </c>
      <c r="D768" s="37">
        <v>0.843</v>
      </c>
      <c r="E768" s="37">
        <v>0.87</v>
      </c>
      <c r="F768">
        <v>0.0395</v>
      </c>
      <c r="G768">
        <v>6.3012</v>
      </c>
      <c r="I768" s="38"/>
      <c r="J768" s="39"/>
      <c r="K768" s="39"/>
      <c r="L768" s="39"/>
      <c r="M768" s="39"/>
      <c r="N768" s="40"/>
      <c r="O768" s="40"/>
    </row>
    <row r="769" spans="1:15">
      <c r="A769" s="28" t="s">
        <v>1084</v>
      </c>
      <c r="B769" s="37">
        <v>0.049</v>
      </c>
      <c r="C769" s="37">
        <v>0.053</v>
      </c>
      <c r="D769" s="37">
        <v>0.861</v>
      </c>
      <c r="E769" s="37">
        <v>0.875</v>
      </c>
      <c r="F769">
        <v>0.0392</v>
      </c>
      <c r="G769">
        <v>6.3186</v>
      </c>
      <c r="I769" s="38"/>
      <c r="J769" s="39"/>
      <c r="K769" s="39"/>
      <c r="L769" s="39"/>
      <c r="M769" s="39"/>
      <c r="N769" s="40"/>
      <c r="O769" s="40"/>
    </row>
    <row r="770" spans="1:15">
      <c r="A770" s="28" t="s">
        <v>1085</v>
      </c>
      <c r="B770" s="37">
        <v>0.049</v>
      </c>
      <c r="C770" s="37">
        <v>0.053</v>
      </c>
      <c r="D770" s="37">
        <v>0.869</v>
      </c>
      <c r="E770" s="37">
        <v>0.869</v>
      </c>
      <c r="F770">
        <v>0.0391</v>
      </c>
      <c r="G770">
        <v>6.3096</v>
      </c>
      <c r="I770" s="38"/>
      <c r="J770" s="39"/>
      <c r="K770" s="39"/>
      <c r="L770" s="39"/>
      <c r="M770" s="39"/>
      <c r="N770" s="40"/>
      <c r="O770" s="40"/>
    </row>
    <row r="771" spans="1:15">
      <c r="A771" s="28" t="s">
        <v>1086</v>
      </c>
      <c r="B771" s="37">
        <v>0.05</v>
      </c>
      <c r="C771" s="37">
        <v>0.053</v>
      </c>
      <c r="D771" s="37">
        <v>0.875</v>
      </c>
      <c r="E771" s="37">
        <v>0.87</v>
      </c>
      <c r="F771">
        <v>0.0391</v>
      </c>
      <c r="G771">
        <v>6.3088</v>
      </c>
      <c r="I771" s="38"/>
      <c r="J771" s="39"/>
      <c r="K771" s="39"/>
      <c r="L771" s="39"/>
      <c r="M771" s="39"/>
      <c r="N771" s="40"/>
      <c r="O771" s="40"/>
    </row>
    <row r="772" spans="1:15">
      <c r="A772" s="28" t="s">
        <v>1087</v>
      </c>
      <c r="B772" s="37">
        <v>0.051</v>
      </c>
      <c r="C772" s="37">
        <v>0.056</v>
      </c>
      <c r="D772" s="37">
        <v>0.9</v>
      </c>
      <c r="E772" s="37">
        <v>0.925</v>
      </c>
      <c r="F772">
        <v>0.0393</v>
      </c>
      <c r="G772">
        <v>6.2779</v>
      </c>
      <c r="I772" s="38"/>
      <c r="J772" s="39"/>
      <c r="K772" s="39"/>
      <c r="L772" s="39"/>
      <c r="M772" s="39"/>
      <c r="N772" s="40"/>
      <c r="O772" s="40"/>
    </row>
    <row r="773" spans="1:15">
      <c r="A773" s="28" t="s">
        <v>1088</v>
      </c>
      <c r="B773" s="37">
        <v>0.052</v>
      </c>
      <c r="C773" s="37">
        <v>0.053</v>
      </c>
      <c r="D773" s="37">
        <v>0.916</v>
      </c>
      <c r="E773" s="37">
        <v>0.865</v>
      </c>
      <c r="F773">
        <v>0.0391</v>
      </c>
      <c r="G773">
        <v>6.2637</v>
      </c>
      <c r="I773" s="38"/>
      <c r="J773" s="39"/>
      <c r="K773" s="39"/>
      <c r="L773" s="39"/>
      <c r="M773" s="39"/>
      <c r="N773" s="40"/>
      <c r="O773" s="40"/>
    </row>
    <row r="774" spans="1:15">
      <c r="A774" s="28" t="s">
        <v>1089</v>
      </c>
      <c r="B774" s="37">
        <v>0.051</v>
      </c>
      <c r="C774" s="37">
        <v>0.053</v>
      </c>
      <c r="D774" s="37">
        <v>0.909</v>
      </c>
      <c r="E774" s="37">
        <v>0.865</v>
      </c>
      <c r="F774">
        <v>0.0392</v>
      </c>
      <c r="G774">
        <v>6.2229</v>
      </c>
      <c r="I774" s="38"/>
      <c r="J774" s="39"/>
      <c r="K774" s="39"/>
      <c r="L774" s="39"/>
      <c r="M774" s="39"/>
      <c r="N774" s="40"/>
      <c r="O774" s="40"/>
    </row>
    <row r="775" spans="1:15">
      <c r="A775" s="28" t="s">
        <v>1090</v>
      </c>
      <c r="B775" s="37">
        <v>0.052</v>
      </c>
      <c r="C775" s="37">
        <v>0.053</v>
      </c>
      <c r="D775" s="37">
        <v>0.92</v>
      </c>
      <c r="E775" s="37">
        <v>0.862</v>
      </c>
      <c r="F775">
        <v>0.0393</v>
      </c>
      <c r="G775">
        <v>6.2869</v>
      </c>
      <c r="I775" s="38"/>
      <c r="J775" s="39"/>
      <c r="K775" s="39"/>
      <c r="L775" s="39"/>
      <c r="M775" s="39"/>
      <c r="N775" s="40"/>
      <c r="O775" s="40"/>
    </row>
    <row r="776" spans="1:15">
      <c r="A776" s="28" t="s">
        <v>1091</v>
      </c>
      <c r="B776" s="37">
        <v>0.054</v>
      </c>
      <c r="C776" s="37">
        <v>0.053</v>
      </c>
      <c r="D776" s="37">
        <v>0.948</v>
      </c>
      <c r="E776" s="37">
        <v>0.861</v>
      </c>
      <c r="F776">
        <v>0.0395</v>
      </c>
      <c r="G776">
        <v>6.316</v>
      </c>
      <c r="I776" s="38"/>
      <c r="J776" s="39"/>
      <c r="K776" s="39"/>
      <c r="L776" s="39"/>
      <c r="M776" s="39"/>
      <c r="N776" s="40"/>
      <c r="O776" s="40"/>
    </row>
    <row r="777" spans="1:15">
      <c r="A777" s="28" t="s">
        <v>1092</v>
      </c>
      <c r="B777" s="37">
        <v>0.053</v>
      </c>
      <c r="C777" s="37">
        <v>0.047</v>
      </c>
      <c r="D777" s="37">
        <v>0.938</v>
      </c>
      <c r="E777" s="37">
        <v>0.775</v>
      </c>
      <c r="F777">
        <v>0.0393</v>
      </c>
      <c r="G777">
        <v>6.315</v>
      </c>
      <c r="I777" s="38"/>
      <c r="J777" s="39"/>
      <c r="K777" s="39"/>
      <c r="L777" s="39"/>
      <c r="M777" s="39"/>
      <c r="N777" s="40"/>
      <c r="O777" s="40"/>
    </row>
    <row r="778" spans="1:15">
      <c r="A778" s="28" t="s">
        <v>1093</v>
      </c>
      <c r="B778" s="37">
        <v>0.053</v>
      </c>
      <c r="C778" s="37">
        <v>0.047</v>
      </c>
      <c r="D778" s="37">
        <v>0.938</v>
      </c>
      <c r="E778" s="37">
        <v>0.783</v>
      </c>
      <c r="F778">
        <v>0.0391</v>
      </c>
      <c r="G778">
        <v>6.2951</v>
      </c>
      <c r="I778" s="38"/>
      <c r="J778" s="39"/>
      <c r="K778" s="39"/>
      <c r="L778" s="39"/>
      <c r="M778" s="39"/>
      <c r="N778" s="40"/>
      <c r="O778" s="40"/>
    </row>
    <row r="779" spans="1:15">
      <c r="A779" s="28" t="s">
        <v>1094</v>
      </c>
      <c r="B779" s="37">
        <v>0.054</v>
      </c>
      <c r="C779" s="37">
        <v>0.047</v>
      </c>
      <c r="D779" s="37">
        <v>0.948</v>
      </c>
      <c r="E779" s="37">
        <v>0.786</v>
      </c>
      <c r="F779">
        <v>0.039</v>
      </c>
      <c r="G779">
        <v>6.3053</v>
      </c>
      <c r="I779" s="38"/>
      <c r="J779" s="39"/>
      <c r="K779" s="39"/>
      <c r="L779" s="39"/>
      <c r="M779" s="39"/>
      <c r="N779" s="40"/>
      <c r="O779" s="40"/>
    </row>
    <row r="780" spans="1:15">
      <c r="A780" s="28" t="s">
        <v>1095</v>
      </c>
      <c r="B780" s="37">
        <v>0.053</v>
      </c>
      <c r="C780" s="37">
        <v>0.046</v>
      </c>
      <c r="D780" s="37">
        <v>0.941</v>
      </c>
      <c r="E780" s="37">
        <v>0.763</v>
      </c>
      <c r="F780">
        <v>0.039</v>
      </c>
      <c r="G780">
        <v>6.2956</v>
      </c>
      <c r="I780" s="38"/>
      <c r="J780" s="39"/>
      <c r="K780" s="39"/>
      <c r="L780" s="39"/>
      <c r="M780" s="39"/>
      <c r="N780" s="40"/>
      <c r="O780" s="40"/>
    </row>
    <row r="781" spans="1:15">
      <c r="A781" s="28" t="s">
        <v>1096</v>
      </c>
      <c r="B781" s="37">
        <v>0.054</v>
      </c>
      <c r="C781" s="37">
        <v>0.046</v>
      </c>
      <c r="D781" s="37">
        <v>0.949</v>
      </c>
      <c r="E781" s="37">
        <v>0.763</v>
      </c>
      <c r="F781">
        <v>0.0394</v>
      </c>
      <c r="G781">
        <v>6.2916</v>
      </c>
      <c r="I781" s="38"/>
      <c r="J781" s="39"/>
      <c r="K781" s="39"/>
      <c r="L781" s="39"/>
      <c r="M781" s="39"/>
      <c r="N781" s="40"/>
      <c r="O781" s="40"/>
    </row>
    <row r="782" spans="1:15">
      <c r="A782" s="28" t="s">
        <v>1097</v>
      </c>
      <c r="B782" s="37">
        <v>0.052</v>
      </c>
      <c r="C782" s="37">
        <v>0.046</v>
      </c>
      <c r="D782" s="37">
        <v>0.911</v>
      </c>
      <c r="E782" s="37">
        <v>0.761</v>
      </c>
      <c r="F782">
        <v>0.0392</v>
      </c>
      <c r="G782">
        <v>6.2892</v>
      </c>
      <c r="I782" s="38"/>
      <c r="J782" s="39"/>
      <c r="K782" s="39"/>
      <c r="L782" s="39"/>
      <c r="M782" s="39"/>
      <c r="N782" s="40"/>
      <c r="O782" s="40"/>
    </row>
    <row r="783" spans="1:15">
      <c r="A783" s="28" t="s">
        <v>1098</v>
      </c>
      <c r="B783" s="37">
        <v>0.052</v>
      </c>
      <c r="C783" s="37">
        <v>0.051</v>
      </c>
      <c r="D783" s="37">
        <v>0.92</v>
      </c>
      <c r="E783" s="37">
        <v>0.843</v>
      </c>
      <c r="F783">
        <v>0.0393</v>
      </c>
      <c r="G783">
        <v>6.2993</v>
      </c>
      <c r="I783" s="38"/>
      <c r="J783" s="39"/>
      <c r="K783" s="39"/>
      <c r="L783" s="39"/>
      <c r="M783" s="39"/>
      <c r="N783" s="40"/>
      <c r="O783" s="40"/>
    </row>
    <row r="784" spans="1:15">
      <c r="A784" s="28" t="s">
        <v>1099</v>
      </c>
      <c r="B784" s="37">
        <v>0.051</v>
      </c>
      <c r="C784" s="37">
        <v>0.045</v>
      </c>
      <c r="D784" s="37">
        <v>0.895</v>
      </c>
      <c r="E784" s="37">
        <v>0.742</v>
      </c>
      <c r="F784">
        <v>0.0393</v>
      </c>
      <c r="G784">
        <v>6.2748</v>
      </c>
      <c r="I784" s="38"/>
      <c r="J784" s="39"/>
      <c r="K784" s="39"/>
      <c r="L784" s="39"/>
      <c r="M784" s="39"/>
      <c r="N784" s="40"/>
      <c r="O784" s="40"/>
    </row>
    <row r="785" spans="1:15">
      <c r="A785" s="28" t="s">
        <v>1100</v>
      </c>
      <c r="B785" s="37">
        <v>0.051</v>
      </c>
      <c r="C785" s="37">
        <v>0.075</v>
      </c>
      <c r="D785" s="37">
        <v>0.894</v>
      </c>
      <c r="E785" s="37">
        <v>1.242</v>
      </c>
      <c r="F785">
        <v>0.0391</v>
      </c>
      <c r="G785">
        <v>6.297</v>
      </c>
      <c r="I785" s="38"/>
      <c r="J785" s="39"/>
      <c r="K785" s="39"/>
      <c r="L785" s="39"/>
      <c r="M785" s="39"/>
      <c r="N785" s="40"/>
      <c r="O785" s="40"/>
    </row>
    <row r="786" spans="1:15">
      <c r="A786" s="28" t="s">
        <v>1101</v>
      </c>
      <c r="B786" s="37">
        <v>0.051</v>
      </c>
      <c r="C786" s="37">
        <v>0.075</v>
      </c>
      <c r="D786" s="37">
        <v>0.893</v>
      </c>
      <c r="E786" s="37">
        <v>1.244</v>
      </c>
      <c r="F786">
        <v>0.0394</v>
      </c>
      <c r="G786">
        <v>6.2876</v>
      </c>
      <c r="I786" s="38"/>
      <c r="J786" s="39"/>
      <c r="K786" s="39"/>
      <c r="L786" s="39"/>
      <c r="M786" s="39"/>
      <c r="N786" s="40"/>
      <c r="O786" s="40"/>
    </row>
    <row r="787" spans="1:15">
      <c r="A787" s="28" t="s">
        <v>1102</v>
      </c>
      <c r="B787" s="37">
        <v>0.052</v>
      </c>
      <c r="C787" s="37">
        <v>0.043</v>
      </c>
      <c r="D787" s="37">
        <v>0.913</v>
      </c>
      <c r="E787" s="37">
        <v>0.717</v>
      </c>
      <c r="F787">
        <v>0.0396</v>
      </c>
      <c r="G787">
        <v>6.3071</v>
      </c>
      <c r="I787" s="38"/>
      <c r="J787" s="39"/>
      <c r="K787" s="39"/>
      <c r="L787" s="39"/>
      <c r="M787" s="39"/>
      <c r="N787" s="40"/>
      <c r="O787" s="40"/>
    </row>
    <row r="788" spans="1:15">
      <c r="A788" s="28" t="s">
        <v>1103</v>
      </c>
      <c r="B788" s="37">
        <v>0.053</v>
      </c>
      <c r="C788" s="37">
        <v>0.052</v>
      </c>
      <c r="D788" s="37">
        <v>0.933</v>
      </c>
      <c r="E788" s="37">
        <v>0.86</v>
      </c>
      <c r="F788">
        <v>0.0397</v>
      </c>
      <c r="G788">
        <v>6.3119</v>
      </c>
      <c r="I788" s="38"/>
      <c r="J788" s="39"/>
      <c r="K788" s="39"/>
      <c r="L788" s="39"/>
      <c r="M788" s="39"/>
      <c r="N788" s="40"/>
      <c r="O788" s="40"/>
    </row>
    <row r="789" spans="1:15">
      <c r="A789" s="28" t="s">
        <v>1104</v>
      </c>
      <c r="B789" s="37">
        <v>0.052</v>
      </c>
      <c r="C789" s="37">
        <v>0.049</v>
      </c>
      <c r="D789" s="37">
        <v>0.92</v>
      </c>
      <c r="E789" s="37">
        <v>0.807</v>
      </c>
      <c r="F789">
        <v>0.0397</v>
      </c>
      <c r="G789">
        <v>6.2913</v>
      </c>
      <c r="I789" s="38"/>
      <c r="J789" s="39"/>
      <c r="K789" s="39"/>
      <c r="L789" s="39"/>
      <c r="M789" s="39"/>
      <c r="N789" s="40"/>
      <c r="O789" s="40"/>
    </row>
    <row r="790" spans="1:15">
      <c r="A790" s="28" t="s">
        <v>1105</v>
      </c>
      <c r="B790" s="37">
        <v>0.052</v>
      </c>
      <c r="C790" s="37">
        <v>0.049</v>
      </c>
      <c r="D790" s="37">
        <v>0.916</v>
      </c>
      <c r="E790" s="37">
        <v>0.808</v>
      </c>
      <c r="F790">
        <v>0.0396</v>
      </c>
      <c r="G790">
        <v>6.2598</v>
      </c>
      <c r="I790" s="38"/>
      <c r="J790" s="39"/>
      <c r="K790" s="39"/>
      <c r="L790" s="39"/>
      <c r="M790" s="39"/>
      <c r="N790" s="40"/>
      <c r="O790" s="40"/>
    </row>
    <row r="791" spans="1:15">
      <c r="A791" s="28" t="s">
        <v>1106</v>
      </c>
      <c r="B791" s="37">
        <v>0.053</v>
      </c>
      <c r="C791" s="37">
        <v>0.049</v>
      </c>
      <c r="D791" s="37">
        <v>0.937</v>
      </c>
      <c r="E791" s="37">
        <v>0.808</v>
      </c>
      <c r="F791">
        <v>0.0394</v>
      </c>
      <c r="G791">
        <v>6.2905</v>
      </c>
      <c r="I791" s="38"/>
      <c r="J791" s="39"/>
      <c r="K791" s="39"/>
      <c r="L791" s="39"/>
      <c r="M791" s="39"/>
      <c r="N791" s="40"/>
      <c r="O791" s="40"/>
    </row>
    <row r="792" spans="1:15">
      <c r="A792" s="28" t="s">
        <v>1107</v>
      </c>
      <c r="B792" s="37">
        <v>0.054</v>
      </c>
      <c r="C792" s="37">
        <v>0.055</v>
      </c>
      <c r="D792" s="37">
        <v>0.951</v>
      </c>
      <c r="E792" s="37">
        <v>0.91</v>
      </c>
      <c r="F792">
        <v>0.0398</v>
      </c>
      <c r="G792">
        <v>6.3167</v>
      </c>
      <c r="I792" s="38"/>
      <c r="J792" s="39"/>
      <c r="K792" s="39"/>
      <c r="L792" s="39"/>
      <c r="M792" s="39"/>
      <c r="N792" s="40"/>
      <c r="O792" s="40"/>
    </row>
    <row r="793" spans="1:15">
      <c r="A793" s="28" t="s">
        <v>1108</v>
      </c>
      <c r="B793" s="37">
        <v>0.054</v>
      </c>
      <c r="C793" s="37">
        <v>0.047</v>
      </c>
      <c r="D793" s="37">
        <v>0.959</v>
      </c>
      <c r="E793" s="37">
        <v>0.793</v>
      </c>
      <c r="F793">
        <v>0.0399</v>
      </c>
      <c r="G793">
        <v>6.3357</v>
      </c>
      <c r="I793" s="38"/>
      <c r="J793" s="39"/>
      <c r="K793" s="39"/>
      <c r="L793" s="39"/>
      <c r="M793" s="39"/>
      <c r="N793" s="40"/>
      <c r="O793" s="40"/>
    </row>
    <row r="794" spans="1:15">
      <c r="A794" s="28" t="s">
        <v>1109</v>
      </c>
      <c r="B794" s="37">
        <v>0.054</v>
      </c>
      <c r="C794" s="37">
        <v>0.047</v>
      </c>
      <c r="D794" s="37">
        <v>0.945</v>
      </c>
      <c r="E794" s="37">
        <v>0.791</v>
      </c>
      <c r="F794">
        <v>0.0403</v>
      </c>
      <c r="G794">
        <v>6.33</v>
      </c>
      <c r="I794" s="38"/>
      <c r="J794" s="39"/>
      <c r="K794" s="39"/>
      <c r="L794" s="39"/>
      <c r="M794" s="39"/>
      <c r="N794" s="40"/>
      <c r="O794" s="40"/>
    </row>
    <row r="795" spans="1:15">
      <c r="A795" s="28" t="s">
        <v>1110</v>
      </c>
      <c r="B795" s="37">
        <v>0.052</v>
      </c>
      <c r="C795" s="37">
        <v>0.053</v>
      </c>
      <c r="D795" s="37">
        <v>0.923</v>
      </c>
      <c r="E795" s="37">
        <v>0.889</v>
      </c>
      <c r="F795">
        <v>0.0403</v>
      </c>
      <c r="G795">
        <v>6.3431</v>
      </c>
      <c r="I795" s="38"/>
      <c r="J795" s="39"/>
      <c r="K795" s="39"/>
      <c r="L795" s="39"/>
      <c r="M795" s="39"/>
      <c r="N795" s="40"/>
      <c r="O795" s="40"/>
    </row>
    <row r="796" spans="1:15">
      <c r="A796" s="28" t="s">
        <v>1111</v>
      </c>
      <c r="B796" s="37">
        <v>0.05</v>
      </c>
      <c r="C796" s="37">
        <v>0.053</v>
      </c>
      <c r="D796" s="37">
        <v>0.878</v>
      </c>
      <c r="E796" s="37">
        <v>0.881</v>
      </c>
      <c r="F796">
        <v>0.0402</v>
      </c>
      <c r="G796">
        <v>6.3306</v>
      </c>
      <c r="I796" s="38"/>
      <c r="J796" s="39"/>
      <c r="K796" s="39"/>
      <c r="L796" s="39"/>
      <c r="M796" s="39"/>
      <c r="N796" s="40"/>
      <c r="O796" s="40"/>
    </row>
    <row r="797" spans="1:15">
      <c r="A797" s="28" t="s">
        <v>1112</v>
      </c>
      <c r="B797" s="37">
        <v>0.047</v>
      </c>
      <c r="C797" s="37">
        <v>0.056</v>
      </c>
      <c r="D797" s="37">
        <v>0.824</v>
      </c>
      <c r="E797" s="37">
        <v>0.921</v>
      </c>
      <c r="F797">
        <v>0.0399</v>
      </c>
      <c r="G797">
        <v>6.3138</v>
      </c>
      <c r="I797" s="38"/>
      <c r="J797" s="39"/>
      <c r="K797" s="39"/>
      <c r="L797" s="39"/>
      <c r="M797" s="39"/>
      <c r="N797" s="40"/>
      <c r="O797" s="40"/>
    </row>
    <row r="798" spans="1:15">
      <c r="A798" s="28" t="s">
        <v>1113</v>
      </c>
      <c r="B798" s="37">
        <v>0.044</v>
      </c>
      <c r="C798" s="37">
        <v>0.053</v>
      </c>
      <c r="D798" s="37">
        <v>0.775</v>
      </c>
      <c r="E798" s="37">
        <v>0.879</v>
      </c>
      <c r="F798">
        <v>0.0396</v>
      </c>
      <c r="G798">
        <v>6.3209</v>
      </c>
      <c r="I798" s="38"/>
      <c r="J798" s="39"/>
      <c r="K798" s="39"/>
      <c r="L798" s="39"/>
      <c r="M798" s="39"/>
      <c r="N798" s="40"/>
      <c r="O798" s="40"/>
    </row>
    <row r="799" spans="1:15">
      <c r="A799" s="28" t="s">
        <v>1114</v>
      </c>
      <c r="B799" s="37">
        <v>0.044</v>
      </c>
      <c r="C799" s="37">
        <v>0.047</v>
      </c>
      <c r="D799" s="37">
        <v>0.777</v>
      </c>
      <c r="E799" s="37">
        <v>0.78</v>
      </c>
      <c r="F799">
        <v>0.0398</v>
      </c>
      <c r="G799">
        <v>6.3083</v>
      </c>
      <c r="I799" s="38"/>
      <c r="J799" s="39"/>
      <c r="K799" s="39"/>
      <c r="L799" s="39"/>
      <c r="M799" s="39"/>
      <c r="N799" s="40"/>
      <c r="O799" s="40"/>
    </row>
    <row r="800" spans="1:15">
      <c r="A800" s="28" t="s">
        <v>1115</v>
      </c>
      <c r="B800" s="37">
        <v>0.044</v>
      </c>
      <c r="C800" s="37">
        <v>0.047</v>
      </c>
      <c r="D800" s="37">
        <v>0.767</v>
      </c>
      <c r="E800" s="37">
        <v>0.774</v>
      </c>
      <c r="F800">
        <v>0.0401</v>
      </c>
      <c r="G800">
        <v>6.2735</v>
      </c>
      <c r="I800" s="38"/>
      <c r="J800" s="39"/>
      <c r="K800" s="39"/>
      <c r="L800" s="39"/>
      <c r="M800" s="39"/>
      <c r="N800" s="40"/>
      <c r="O800" s="40"/>
    </row>
    <row r="801" spans="1:15">
      <c r="A801" s="28" t="s">
        <v>1116</v>
      </c>
      <c r="B801" s="37">
        <v>0.04</v>
      </c>
      <c r="C801" s="37">
        <v>0.041</v>
      </c>
      <c r="D801" s="37">
        <v>0.708</v>
      </c>
      <c r="E801" s="37">
        <v>0.67</v>
      </c>
      <c r="F801">
        <v>0.0399</v>
      </c>
      <c r="G801">
        <v>6.2798</v>
      </c>
      <c r="I801" s="38"/>
      <c r="J801" s="39"/>
      <c r="K801" s="39"/>
      <c r="L801" s="39"/>
      <c r="M801" s="39"/>
      <c r="N801" s="40"/>
      <c r="O801" s="40"/>
    </row>
    <row r="802" spans="1:15">
      <c r="A802" s="28" t="s">
        <v>1117</v>
      </c>
      <c r="B802" s="37">
        <v>0.041</v>
      </c>
      <c r="C802" s="37">
        <v>0.041</v>
      </c>
      <c r="D802" s="37">
        <v>0.715</v>
      </c>
      <c r="E802" s="37">
        <v>0.67</v>
      </c>
      <c r="F802">
        <v>0.0397</v>
      </c>
      <c r="G802">
        <v>6.3073</v>
      </c>
      <c r="I802" s="38"/>
      <c r="J802" s="39"/>
      <c r="K802" s="39"/>
      <c r="L802" s="39"/>
      <c r="M802" s="39"/>
      <c r="N802" s="40"/>
      <c r="O802" s="40"/>
    </row>
    <row r="803" spans="1:15">
      <c r="A803" s="28" t="s">
        <v>1118</v>
      </c>
      <c r="B803" s="37">
        <v>0.039</v>
      </c>
      <c r="C803" s="37">
        <v>0.041</v>
      </c>
      <c r="D803" s="37">
        <v>0.681</v>
      </c>
      <c r="E803" s="37">
        <v>0.669</v>
      </c>
      <c r="F803">
        <v>0.0399</v>
      </c>
      <c r="G803">
        <v>6.2865</v>
      </c>
      <c r="I803" s="38"/>
      <c r="J803" s="39"/>
      <c r="K803" s="39"/>
      <c r="L803" s="39"/>
      <c r="M803" s="39"/>
      <c r="N803" s="40"/>
      <c r="O803" s="40"/>
    </row>
    <row r="804" spans="1:15">
      <c r="A804" s="28" t="s">
        <v>1119</v>
      </c>
      <c r="B804" s="37">
        <v>0.037</v>
      </c>
      <c r="C804" s="37">
        <v>0.041</v>
      </c>
      <c r="D804" s="37">
        <v>0.652</v>
      </c>
      <c r="E804" s="37">
        <v>0.674</v>
      </c>
      <c r="F804">
        <v>0.0397</v>
      </c>
      <c r="G804">
        <v>6.3287</v>
      </c>
      <c r="I804" s="38"/>
      <c r="J804" s="39"/>
      <c r="K804" s="39"/>
      <c r="L804" s="39"/>
      <c r="M804" s="39"/>
      <c r="N804" s="40"/>
      <c r="O804" s="40"/>
    </row>
    <row r="805" spans="1:15">
      <c r="A805" s="28" t="s">
        <v>1120</v>
      </c>
      <c r="B805" s="37">
        <v>0.038</v>
      </c>
      <c r="C805" s="37">
        <v>0.041</v>
      </c>
      <c r="D805" s="37">
        <v>0.657</v>
      </c>
      <c r="E805" s="37">
        <v>0.674</v>
      </c>
      <c r="F805">
        <v>0.0394</v>
      </c>
      <c r="G805">
        <v>6.3139</v>
      </c>
      <c r="I805" s="38"/>
      <c r="J805" s="39"/>
      <c r="K805" s="39"/>
      <c r="L805" s="39"/>
      <c r="M805" s="39"/>
      <c r="N805" s="40"/>
      <c r="O805" s="40"/>
    </row>
    <row r="806" spans="1:15">
      <c r="A806" s="28" t="s">
        <v>1121</v>
      </c>
      <c r="B806" s="37">
        <v>0.039</v>
      </c>
      <c r="C806" s="37">
        <v>0.044</v>
      </c>
      <c r="D806" s="37">
        <v>0.676</v>
      </c>
      <c r="E806" s="37">
        <v>0.716</v>
      </c>
      <c r="F806">
        <v>0.0397</v>
      </c>
      <c r="G806">
        <v>6.3159</v>
      </c>
      <c r="I806" s="38"/>
      <c r="J806" s="39"/>
      <c r="K806" s="39"/>
      <c r="L806" s="39"/>
      <c r="M806" s="39"/>
      <c r="N806" s="40"/>
      <c r="O806" s="40"/>
    </row>
    <row r="807" spans="1:15">
      <c r="A807" s="28" t="s">
        <v>1122</v>
      </c>
      <c r="B807" s="37">
        <v>0.038</v>
      </c>
      <c r="C807" s="37">
        <v>0.041</v>
      </c>
      <c r="D807" s="37">
        <v>0.662</v>
      </c>
      <c r="E807" s="37">
        <v>0.667</v>
      </c>
      <c r="F807">
        <v>0.0398</v>
      </c>
      <c r="G807">
        <v>6.3814</v>
      </c>
      <c r="I807" s="38"/>
      <c r="J807" s="39"/>
      <c r="K807" s="39"/>
      <c r="L807" s="39"/>
      <c r="M807" s="39"/>
      <c r="N807" s="40"/>
      <c r="O807" s="40"/>
    </row>
    <row r="808" spans="1:15">
      <c r="A808" s="28" t="s">
        <v>1123</v>
      </c>
      <c r="B808" s="37">
        <v>0.039</v>
      </c>
      <c r="C808" s="37">
        <v>0.045</v>
      </c>
      <c r="D808" s="37">
        <v>0.69</v>
      </c>
      <c r="E808" s="37">
        <v>0.739</v>
      </c>
      <c r="F808">
        <v>0.0401</v>
      </c>
      <c r="G808">
        <v>6.3842</v>
      </c>
      <c r="I808" s="38"/>
      <c r="J808" s="39"/>
      <c r="K808" s="39"/>
      <c r="L808" s="39"/>
      <c r="M808" s="39"/>
      <c r="N808" s="40"/>
      <c r="O808" s="40"/>
    </row>
    <row r="809" spans="1:15">
      <c r="A809" s="28" t="s">
        <v>1124</v>
      </c>
      <c r="B809" s="37">
        <v>0.041</v>
      </c>
      <c r="C809" s="37">
        <v>0.045</v>
      </c>
      <c r="D809" s="37">
        <v>0.711</v>
      </c>
      <c r="E809" s="37">
        <v>0.74</v>
      </c>
      <c r="F809">
        <v>0.0402</v>
      </c>
      <c r="G809">
        <v>6.3765</v>
      </c>
      <c r="I809" s="38"/>
      <c r="J809" s="39"/>
      <c r="K809" s="39"/>
      <c r="L809" s="39"/>
      <c r="M809" s="39"/>
      <c r="N809" s="40"/>
      <c r="O809" s="40"/>
    </row>
    <row r="810" spans="1:15">
      <c r="A810" s="28" t="s">
        <v>1125</v>
      </c>
      <c r="B810" s="37">
        <v>0.042</v>
      </c>
      <c r="C810" s="37">
        <v>0.045</v>
      </c>
      <c r="D810" s="37">
        <v>0.732</v>
      </c>
      <c r="E810" s="37">
        <v>0.739</v>
      </c>
      <c r="F810">
        <v>0.04</v>
      </c>
      <c r="G810">
        <v>6.34</v>
      </c>
      <c r="I810" s="38"/>
      <c r="J810" s="39"/>
      <c r="K810" s="39"/>
      <c r="L810" s="39"/>
      <c r="M810" s="39"/>
      <c r="N810" s="40"/>
      <c r="O810" s="40"/>
    </row>
    <row r="811" spans="1:15">
      <c r="A811" s="28" t="s">
        <v>1126</v>
      </c>
      <c r="B811" s="37">
        <v>0.044</v>
      </c>
      <c r="C811" s="37">
        <v>0.045</v>
      </c>
      <c r="D811" s="37">
        <v>0.769</v>
      </c>
      <c r="E811" s="37">
        <v>0.743</v>
      </c>
      <c r="F811">
        <v>0.0398</v>
      </c>
      <c r="G811">
        <v>6.3127</v>
      </c>
      <c r="I811" s="38"/>
      <c r="J811" s="39"/>
      <c r="K811" s="39"/>
      <c r="L811" s="39"/>
      <c r="M811" s="39"/>
      <c r="N811" s="40"/>
      <c r="O811" s="40"/>
    </row>
    <row r="812" spans="1:15">
      <c r="A812" s="28" t="s">
        <v>1127</v>
      </c>
      <c r="B812" s="37">
        <v>0.048</v>
      </c>
      <c r="C812" s="37">
        <v>0.045</v>
      </c>
      <c r="D812" s="37">
        <v>0.843</v>
      </c>
      <c r="E812" s="37">
        <v>0.748</v>
      </c>
      <c r="F812">
        <v>0.0398</v>
      </c>
      <c r="G812">
        <v>6.2986</v>
      </c>
      <c r="I812" s="38"/>
      <c r="J812" s="39"/>
      <c r="K812" s="39"/>
      <c r="L812" s="39"/>
      <c r="M812" s="39"/>
      <c r="N812" s="40"/>
      <c r="O812" s="40"/>
    </row>
    <row r="813" spans="1:15">
      <c r="A813" s="28" t="s">
        <v>1128</v>
      </c>
      <c r="B813" s="37">
        <v>0.05</v>
      </c>
      <c r="C813" s="37">
        <v>0.047</v>
      </c>
      <c r="D813" s="37">
        <v>0.872</v>
      </c>
      <c r="E813" s="37">
        <v>0.783</v>
      </c>
      <c r="F813">
        <v>0.0397</v>
      </c>
      <c r="G813">
        <v>6.3278</v>
      </c>
      <c r="I813" s="38"/>
      <c r="J813" s="39"/>
      <c r="K813" s="39"/>
      <c r="L813" s="39"/>
      <c r="M813" s="39"/>
      <c r="N813" s="40"/>
      <c r="O813" s="40"/>
    </row>
    <row r="814" spans="1:15">
      <c r="A814" s="28" t="s">
        <v>1129</v>
      </c>
      <c r="B814" s="37">
        <v>0.052</v>
      </c>
      <c r="C814" s="37">
        <v>0.047</v>
      </c>
      <c r="D814" s="37">
        <v>0.909</v>
      </c>
      <c r="E814" s="37">
        <v>0.781</v>
      </c>
      <c r="F814">
        <v>0.0398</v>
      </c>
      <c r="G814">
        <v>6.3481</v>
      </c>
      <c r="I814" s="38"/>
      <c r="J814" s="39"/>
      <c r="K814" s="39"/>
      <c r="L814" s="39"/>
      <c r="M814" s="39"/>
      <c r="N814" s="40"/>
      <c r="O814" s="40"/>
    </row>
    <row r="815" spans="1:15">
      <c r="A815" s="28" t="s">
        <v>1130</v>
      </c>
      <c r="B815" s="37">
        <v>0.054</v>
      </c>
      <c r="C815" s="37">
        <v>0.047</v>
      </c>
      <c r="D815" s="37">
        <v>0.931</v>
      </c>
      <c r="E815" s="37">
        <v>0.777</v>
      </c>
      <c r="F815">
        <v>0.0399</v>
      </c>
      <c r="G815">
        <v>6.3628</v>
      </c>
      <c r="I815" s="38"/>
      <c r="J815" s="39"/>
      <c r="K815" s="39"/>
      <c r="L815" s="39"/>
      <c r="M815" s="39"/>
      <c r="N815" s="40"/>
      <c r="O815" s="40"/>
    </row>
    <row r="816" spans="1:15">
      <c r="A816" s="28" t="s">
        <v>1131</v>
      </c>
      <c r="B816" s="37">
        <v>0.057</v>
      </c>
      <c r="C816" s="37">
        <v>0.047</v>
      </c>
      <c r="D816" s="37">
        <v>0.998</v>
      </c>
      <c r="E816" s="37">
        <v>0.775</v>
      </c>
      <c r="F816">
        <v>0.0397</v>
      </c>
      <c r="G816">
        <v>6.3868</v>
      </c>
      <c r="I816" s="38"/>
      <c r="J816" s="39"/>
      <c r="K816" s="39"/>
      <c r="L816" s="39"/>
      <c r="M816" s="39"/>
      <c r="N816" s="40"/>
      <c r="O816" s="40"/>
    </row>
    <row r="817" spans="1:15">
      <c r="A817" s="28" t="s">
        <v>1132</v>
      </c>
      <c r="B817" s="37">
        <v>0.059</v>
      </c>
      <c r="C817" s="37">
        <v>0.051</v>
      </c>
      <c r="D817" s="37">
        <v>1.014</v>
      </c>
      <c r="E817" s="37">
        <v>0.825</v>
      </c>
      <c r="F817">
        <v>0.0399</v>
      </c>
      <c r="G817">
        <v>6.3447</v>
      </c>
      <c r="I817" s="38"/>
      <c r="J817" s="39"/>
      <c r="K817" s="39"/>
      <c r="L817" s="39"/>
      <c r="M817" s="39"/>
      <c r="N817" s="40"/>
      <c r="O817" s="40"/>
    </row>
    <row r="818" spans="1:15">
      <c r="A818" s="28" t="s">
        <v>1133</v>
      </c>
      <c r="B818" s="37">
        <v>0.059</v>
      </c>
      <c r="C818" s="37">
        <v>0.051</v>
      </c>
      <c r="D818" s="37">
        <v>1.019</v>
      </c>
      <c r="E818" s="37">
        <v>0.824</v>
      </c>
      <c r="F818">
        <v>0.0397</v>
      </c>
      <c r="G818">
        <v>6.3485</v>
      </c>
      <c r="I818" s="38"/>
      <c r="J818" s="39"/>
      <c r="K818" s="39"/>
      <c r="L818" s="39"/>
      <c r="M818" s="39"/>
      <c r="N818" s="40"/>
      <c r="O818" s="40"/>
    </row>
    <row r="819" spans="1:15">
      <c r="A819" s="28" t="s">
        <v>1134</v>
      </c>
      <c r="B819" s="37">
        <v>0.058</v>
      </c>
      <c r="C819" s="37">
        <v>0.051</v>
      </c>
      <c r="D819" s="37">
        <v>1.004</v>
      </c>
      <c r="E819" s="37">
        <v>0.826</v>
      </c>
      <c r="F819">
        <v>0.0398</v>
      </c>
      <c r="G819">
        <v>6.4189</v>
      </c>
      <c r="I819" s="38"/>
      <c r="J819" s="39"/>
      <c r="K819" s="39"/>
      <c r="L819" s="39"/>
      <c r="M819" s="39"/>
      <c r="N819" s="40"/>
      <c r="O819" s="40"/>
    </row>
    <row r="820" spans="1:15">
      <c r="A820" s="28" t="s">
        <v>1135</v>
      </c>
      <c r="B820" s="37">
        <v>0.058</v>
      </c>
      <c r="C820" s="37">
        <v>0.061</v>
      </c>
      <c r="D820" s="37">
        <v>0.998</v>
      </c>
      <c r="E820" s="37">
        <v>0.998</v>
      </c>
      <c r="F820">
        <v>0.0394</v>
      </c>
      <c r="G820">
        <v>6.4572</v>
      </c>
      <c r="I820" s="38"/>
      <c r="J820" s="39"/>
      <c r="K820" s="39"/>
      <c r="L820" s="39"/>
      <c r="M820" s="39"/>
      <c r="N820" s="40"/>
      <c r="O820" s="40"/>
    </row>
    <row r="821" spans="1:15">
      <c r="A821" s="28" t="s">
        <v>1136</v>
      </c>
      <c r="B821" s="37">
        <v>0.058</v>
      </c>
      <c r="C821" s="37">
        <v>0.061</v>
      </c>
      <c r="D821" s="37">
        <v>1.007</v>
      </c>
      <c r="E821" s="37">
        <v>1</v>
      </c>
      <c r="F821">
        <v>0.0393</v>
      </c>
      <c r="G821">
        <v>6.4282</v>
      </c>
      <c r="I821" s="38"/>
      <c r="J821" s="39"/>
      <c r="K821" s="39"/>
      <c r="L821" s="39"/>
      <c r="M821" s="39"/>
      <c r="N821" s="40"/>
      <c r="O821" s="40"/>
    </row>
    <row r="822" spans="1:15">
      <c r="A822" s="28" t="s">
        <v>1137</v>
      </c>
      <c r="B822" s="37">
        <v>0.058</v>
      </c>
      <c r="C822" s="37">
        <v>0.061</v>
      </c>
      <c r="D822" s="37">
        <v>1.005</v>
      </c>
      <c r="E822" s="37">
        <v>0.998</v>
      </c>
      <c r="F822">
        <v>0.0393</v>
      </c>
      <c r="G822">
        <v>6.4257</v>
      </c>
      <c r="I822" s="38"/>
      <c r="J822" s="39"/>
      <c r="K822" s="39"/>
      <c r="L822" s="39"/>
      <c r="M822" s="39"/>
      <c r="N822" s="40"/>
      <c r="O822" s="40"/>
    </row>
    <row r="823" spans="1:15">
      <c r="A823" s="28" t="s">
        <v>1138</v>
      </c>
      <c r="B823" s="37">
        <v>0.06</v>
      </c>
      <c r="C823" s="37">
        <v>0.061</v>
      </c>
      <c r="D823" s="37">
        <v>1.022</v>
      </c>
      <c r="E823" s="37">
        <v>0.996</v>
      </c>
      <c r="F823">
        <v>0.0392</v>
      </c>
      <c r="G823">
        <v>6.4716</v>
      </c>
      <c r="I823" s="38"/>
      <c r="J823" s="39"/>
      <c r="K823" s="39"/>
      <c r="L823" s="39"/>
      <c r="M823" s="39"/>
      <c r="N823" s="40"/>
      <c r="O823" s="40"/>
    </row>
    <row r="824" spans="1:15">
      <c r="A824" s="28" t="s">
        <v>1139</v>
      </c>
      <c r="B824" s="37">
        <v>0.06</v>
      </c>
      <c r="C824" s="37">
        <v>0.061</v>
      </c>
      <c r="D824" s="37">
        <v>1.024</v>
      </c>
      <c r="E824" s="37">
        <v>0.992</v>
      </c>
      <c r="F824">
        <v>0.0391</v>
      </c>
      <c r="G824">
        <v>6.5092</v>
      </c>
      <c r="I824" s="38"/>
      <c r="J824" s="39"/>
      <c r="K824" s="39"/>
      <c r="L824" s="39"/>
      <c r="M824" s="39"/>
      <c r="N824" s="40"/>
      <c r="O824" s="40"/>
    </row>
    <row r="825" spans="1:15">
      <c r="A825" s="28" t="s">
        <v>1140</v>
      </c>
      <c r="B825" s="37">
        <v>0.061</v>
      </c>
      <c r="C825" s="37">
        <v>0.058</v>
      </c>
      <c r="D825" s="37">
        <v>1.037</v>
      </c>
      <c r="E825" s="37">
        <v>0.935</v>
      </c>
      <c r="F825">
        <v>0.039</v>
      </c>
      <c r="G825">
        <v>6.5213</v>
      </c>
      <c r="I825" s="38"/>
      <c r="J825" s="39"/>
      <c r="K825" s="39"/>
      <c r="L825" s="39"/>
      <c r="M825" s="39"/>
      <c r="N825" s="40"/>
      <c r="O825" s="40"/>
    </row>
    <row r="826" spans="1:15">
      <c r="A826" s="28" t="s">
        <v>1141</v>
      </c>
      <c r="B826" s="37">
        <v>0.062</v>
      </c>
      <c r="C826" s="37">
        <v>0.06</v>
      </c>
      <c r="D826" s="37">
        <v>1.063</v>
      </c>
      <c r="E826" s="37">
        <v>0.969</v>
      </c>
      <c r="F826">
        <v>0.0391</v>
      </c>
      <c r="G826">
        <v>6.5772</v>
      </c>
      <c r="I826" s="38"/>
      <c r="J826" s="39"/>
      <c r="K826" s="39"/>
      <c r="L826" s="39"/>
      <c r="M826" s="39"/>
      <c r="N826" s="40"/>
      <c r="O826" s="40"/>
    </row>
    <row r="827" spans="1:15">
      <c r="A827" s="28" t="s">
        <v>1142</v>
      </c>
      <c r="B827" s="37">
        <v>0.063</v>
      </c>
      <c r="C827" s="37">
        <v>0.06</v>
      </c>
      <c r="D827" s="37">
        <v>1.075</v>
      </c>
      <c r="E827" s="37">
        <v>0.964</v>
      </c>
      <c r="F827">
        <v>0.0392</v>
      </c>
      <c r="G827">
        <v>6.5691</v>
      </c>
      <c r="I827" s="38"/>
      <c r="J827" s="39"/>
      <c r="K827" s="39"/>
      <c r="L827" s="39"/>
      <c r="M827" s="39"/>
      <c r="N827" s="40"/>
      <c r="O827" s="40"/>
    </row>
    <row r="828" spans="1:15">
      <c r="A828" s="28" t="s">
        <v>1143</v>
      </c>
      <c r="B828" s="37">
        <v>0.064</v>
      </c>
      <c r="C828" s="37">
        <v>0.058</v>
      </c>
      <c r="D828" s="37">
        <v>1.091</v>
      </c>
      <c r="E828" s="37">
        <v>0.918</v>
      </c>
      <c r="F828">
        <v>0.0392</v>
      </c>
      <c r="G828">
        <v>6.5514</v>
      </c>
      <c r="I828" s="38"/>
      <c r="J828" s="39"/>
      <c r="K828" s="39"/>
      <c r="L828" s="39"/>
      <c r="M828" s="39"/>
      <c r="N828" s="40"/>
      <c r="O828" s="40"/>
    </row>
    <row r="829" spans="1:15">
      <c r="A829" s="28" t="s">
        <v>1144</v>
      </c>
      <c r="B829" s="37">
        <v>0.063</v>
      </c>
      <c r="C829" s="37">
        <v>0.058</v>
      </c>
      <c r="D829" s="37">
        <v>1.073</v>
      </c>
      <c r="E829" s="37">
        <v>0.915</v>
      </c>
      <c r="F829">
        <v>0.0391</v>
      </c>
      <c r="G829">
        <v>6.5479</v>
      </c>
      <c r="I829" s="38"/>
      <c r="J829" s="39"/>
      <c r="K829" s="39"/>
      <c r="L829" s="39"/>
      <c r="M829" s="39"/>
      <c r="N829" s="40"/>
      <c r="O829" s="40"/>
    </row>
    <row r="830" spans="1:15">
      <c r="A830" s="28" t="s">
        <v>1145</v>
      </c>
      <c r="B830" s="37">
        <v>0.063</v>
      </c>
      <c r="C830" s="37">
        <v>0.058</v>
      </c>
      <c r="D830" s="37">
        <v>1.074</v>
      </c>
      <c r="E830" s="37">
        <v>0.914</v>
      </c>
      <c r="F830">
        <v>0.039</v>
      </c>
      <c r="G830">
        <v>6.4758</v>
      </c>
      <c r="I830" s="38"/>
      <c r="J830" s="39"/>
      <c r="K830" s="39"/>
      <c r="L830" s="39"/>
      <c r="M830" s="39"/>
      <c r="N830" s="40"/>
      <c r="O830" s="40"/>
    </row>
    <row r="831" spans="1:15">
      <c r="A831" s="28" t="s">
        <v>1146</v>
      </c>
      <c r="B831" s="37">
        <v>0.063</v>
      </c>
      <c r="C831" s="37">
        <v>0.058</v>
      </c>
      <c r="D831" s="37">
        <v>1.066</v>
      </c>
      <c r="E831" s="37">
        <v>0.907</v>
      </c>
      <c r="F831">
        <v>0.039</v>
      </c>
      <c r="G831">
        <v>6.5337</v>
      </c>
      <c r="I831" s="38"/>
      <c r="J831" s="39"/>
      <c r="K831" s="39"/>
      <c r="L831" s="39"/>
      <c r="M831" s="39"/>
      <c r="N831" s="40"/>
      <c r="O831" s="40"/>
    </row>
    <row r="832" spans="1:15">
      <c r="A832" s="28" t="s">
        <v>1147</v>
      </c>
      <c r="B832" s="37">
        <v>0.063</v>
      </c>
      <c r="C832" s="37">
        <v>0.058</v>
      </c>
      <c r="D832" s="37">
        <v>1.075</v>
      </c>
      <c r="E832" s="37">
        <v>0.914</v>
      </c>
      <c r="F832">
        <v>0.0391</v>
      </c>
      <c r="G832">
        <v>6.5566</v>
      </c>
      <c r="I832" s="38"/>
      <c r="J832" s="39"/>
      <c r="K832" s="39"/>
      <c r="L832" s="39"/>
      <c r="M832" s="39"/>
      <c r="N832" s="40"/>
      <c r="O832" s="40"/>
    </row>
    <row r="833" spans="1:15">
      <c r="A833" s="28" t="s">
        <v>1148</v>
      </c>
      <c r="B833" s="37">
        <v>0.064</v>
      </c>
      <c r="C833" s="37">
        <v>0.058</v>
      </c>
      <c r="D833" s="37">
        <v>1.084</v>
      </c>
      <c r="E833" s="37">
        <v>0.918</v>
      </c>
      <c r="F833">
        <v>0.0393</v>
      </c>
      <c r="G833">
        <v>6.5739</v>
      </c>
      <c r="I833" s="38"/>
      <c r="J833" s="39"/>
      <c r="K833" s="39"/>
      <c r="L833" s="39"/>
      <c r="M833" s="39"/>
      <c r="N833" s="40"/>
      <c r="O833" s="40"/>
    </row>
    <row r="834" spans="1:15">
      <c r="A834" s="28" t="s">
        <v>1149</v>
      </c>
      <c r="B834" s="37">
        <v>0.064</v>
      </c>
      <c r="C834" s="37">
        <v>0.058</v>
      </c>
      <c r="D834" s="37">
        <v>1.084</v>
      </c>
      <c r="E834" s="37">
        <v>0.911</v>
      </c>
      <c r="F834">
        <v>0.0397</v>
      </c>
      <c r="G834">
        <v>6.6095</v>
      </c>
      <c r="I834" s="38"/>
      <c r="J834" s="39"/>
      <c r="K834" s="39"/>
      <c r="L834" s="39"/>
      <c r="M834" s="39"/>
      <c r="N834" s="40"/>
      <c r="O834" s="40"/>
    </row>
    <row r="835" spans="1:15">
      <c r="A835" s="28" t="s">
        <v>1150</v>
      </c>
      <c r="B835" s="37">
        <v>0.065</v>
      </c>
      <c r="C835" s="37">
        <v>0.061</v>
      </c>
      <c r="D835" s="37">
        <v>1.105</v>
      </c>
      <c r="E835" s="37">
        <v>0.953</v>
      </c>
      <c r="F835">
        <v>0.0398</v>
      </c>
      <c r="G835">
        <v>6.5767</v>
      </c>
      <c r="I835" s="38"/>
      <c r="J835" s="39"/>
      <c r="K835" s="39"/>
      <c r="L835" s="39"/>
      <c r="M835" s="39"/>
      <c r="N835" s="40"/>
      <c r="O835" s="40"/>
    </row>
    <row r="836" spans="1:15">
      <c r="A836" s="28" t="s">
        <v>1151</v>
      </c>
      <c r="B836" s="37">
        <v>0.064</v>
      </c>
      <c r="C836" s="37">
        <v>0.058</v>
      </c>
      <c r="D836" s="37">
        <v>1.083</v>
      </c>
      <c r="E836" s="37">
        <v>0.914</v>
      </c>
      <c r="F836">
        <v>0.0399</v>
      </c>
      <c r="G836">
        <v>6.6071</v>
      </c>
      <c r="I836" s="38"/>
      <c r="J836" s="39"/>
      <c r="K836" s="39"/>
      <c r="L836" s="39"/>
      <c r="M836" s="39"/>
      <c r="N836" s="40"/>
      <c r="O836" s="40"/>
    </row>
    <row r="837" spans="1:15">
      <c r="A837" s="28" t="s">
        <v>1152</v>
      </c>
      <c r="B837" s="37">
        <v>0.065</v>
      </c>
      <c r="C837" s="37">
        <v>0.058</v>
      </c>
      <c r="D837" s="37">
        <v>1.089</v>
      </c>
      <c r="E837" s="37">
        <v>0.903</v>
      </c>
      <c r="F837">
        <v>0.0402</v>
      </c>
      <c r="G837">
        <v>6.6474</v>
      </c>
      <c r="I837" s="38"/>
      <c r="J837" s="39"/>
      <c r="K837" s="39"/>
      <c r="L837" s="39"/>
      <c r="M837" s="39"/>
      <c r="N837" s="40"/>
      <c r="O837" s="40"/>
    </row>
    <row r="838" spans="1:15">
      <c r="A838" s="28" t="s">
        <v>1153</v>
      </c>
      <c r="B838" s="37">
        <v>0.065</v>
      </c>
      <c r="C838" s="37">
        <v>0.058</v>
      </c>
      <c r="D838" s="37">
        <v>1.088</v>
      </c>
      <c r="E838" s="37">
        <v>0.899</v>
      </c>
      <c r="F838">
        <v>0.0403</v>
      </c>
      <c r="G838">
        <v>6.6548</v>
      </c>
      <c r="I838" s="38"/>
      <c r="J838" s="39"/>
      <c r="K838" s="39"/>
      <c r="L838" s="39"/>
      <c r="M838" s="39"/>
      <c r="N838" s="40"/>
      <c r="O838" s="40"/>
    </row>
    <row r="839" spans="1:15">
      <c r="A839" s="28" t="s">
        <v>1154</v>
      </c>
      <c r="B839" s="37">
        <v>0.067</v>
      </c>
      <c r="C839" s="37">
        <v>0.058</v>
      </c>
      <c r="D839" s="37">
        <v>1.113</v>
      </c>
      <c r="E839" s="37">
        <v>0.9</v>
      </c>
      <c r="F839">
        <v>0.0401</v>
      </c>
      <c r="G839">
        <v>6.6439</v>
      </c>
      <c r="I839" s="38"/>
      <c r="J839" s="39"/>
      <c r="K839" s="39"/>
      <c r="L839" s="39"/>
      <c r="M839" s="39"/>
      <c r="N839" s="40"/>
      <c r="O839" s="40"/>
    </row>
    <row r="840" spans="1:15">
      <c r="A840" s="28" t="s">
        <v>1155</v>
      </c>
      <c r="B840" s="37">
        <v>0.067</v>
      </c>
      <c r="C840" s="37">
        <v>0.056</v>
      </c>
      <c r="D840" s="37">
        <v>1.118</v>
      </c>
      <c r="E840" s="37">
        <v>0.865</v>
      </c>
      <c r="F840">
        <v>0.0402</v>
      </c>
      <c r="G840">
        <v>6.6978</v>
      </c>
      <c r="I840" s="38"/>
      <c r="J840" s="39"/>
      <c r="K840" s="39"/>
      <c r="L840" s="39"/>
      <c r="M840" s="39"/>
      <c r="N840" s="40"/>
      <c r="O840" s="40"/>
    </row>
    <row r="841" spans="1:15">
      <c r="A841" s="28" t="s">
        <v>1156</v>
      </c>
      <c r="B841" s="37">
        <v>0.069</v>
      </c>
      <c r="C841" s="37">
        <v>0.06</v>
      </c>
      <c r="D841" s="37">
        <v>1.154</v>
      </c>
      <c r="E841" s="37">
        <v>0.931</v>
      </c>
      <c r="F841">
        <v>0.0405</v>
      </c>
      <c r="G841">
        <v>6.8076</v>
      </c>
      <c r="I841" s="38"/>
      <c r="J841" s="39"/>
      <c r="K841" s="39"/>
      <c r="L841" s="39"/>
      <c r="M841" s="39"/>
      <c r="N841" s="40"/>
      <c r="O841" s="40"/>
    </row>
    <row r="842" spans="1:15">
      <c r="A842" s="28" t="s">
        <v>1157</v>
      </c>
      <c r="B842" s="37">
        <v>0.071</v>
      </c>
      <c r="C842" s="37">
        <v>0.06</v>
      </c>
      <c r="D842" s="37">
        <v>1.173</v>
      </c>
      <c r="E842" s="37">
        <v>0.929</v>
      </c>
      <c r="F842">
        <v>0.0403</v>
      </c>
      <c r="G842">
        <v>6.8179</v>
      </c>
      <c r="I842" s="38"/>
      <c r="J842" s="39"/>
      <c r="K842" s="39"/>
      <c r="L842" s="39"/>
      <c r="M842" s="39"/>
      <c r="N842" s="40"/>
      <c r="O842" s="40"/>
    </row>
    <row r="843" spans="1:15">
      <c r="A843" s="28" t="s">
        <v>1158</v>
      </c>
      <c r="B843" s="37">
        <v>0.071</v>
      </c>
      <c r="C843" s="37">
        <v>0.049</v>
      </c>
      <c r="D843" s="37">
        <v>1.174</v>
      </c>
      <c r="E843" s="37">
        <v>0.768</v>
      </c>
      <c r="F843">
        <v>0.0402</v>
      </c>
      <c r="G843">
        <v>6.7972</v>
      </c>
      <c r="I843" s="38"/>
      <c r="J843" s="39"/>
      <c r="K843" s="39"/>
      <c r="L843" s="39"/>
      <c r="M843" s="39"/>
      <c r="N843" s="40"/>
      <c r="O843" s="40"/>
    </row>
    <row r="844" spans="1:15">
      <c r="A844" s="28" t="s">
        <v>1159</v>
      </c>
      <c r="B844" s="37">
        <v>0.069</v>
      </c>
      <c r="C844" s="37">
        <v>0.044</v>
      </c>
      <c r="D844" s="37">
        <v>1.146</v>
      </c>
      <c r="E844" s="37">
        <v>0.679</v>
      </c>
      <c r="F844">
        <v>0.0405</v>
      </c>
      <c r="G844">
        <v>6.7263</v>
      </c>
      <c r="I844" s="38"/>
      <c r="J844" s="39"/>
      <c r="K844" s="39"/>
      <c r="L844" s="39"/>
      <c r="M844" s="39"/>
      <c r="N844" s="40"/>
      <c r="O844" s="40"/>
    </row>
    <row r="845" spans="1:15">
      <c r="A845" s="28" t="s">
        <v>1160</v>
      </c>
      <c r="B845" s="37">
        <v>0.071</v>
      </c>
      <c r="C845" s="37">
        <v>0.044</v>
      </c>
      <c r="D845" s="37">
        <v>1.171</v>
      </c>
      <c r="E845" s="37">
        <v>0.679</v>
      </c>
      <c r="F845">
        <v>0.0404</v>
      </c>
      <c r="G845">
        <v>6.7181</v>
      </c>
      <c r="I845" s="38"/>
      <c r="J845" s="39"/>
      <c r="K845" s="39"/>
      <c r="L845" s="39"/>
      <c r="M845" s="39"/>
      <c r="N845" s="40"/>
      <c r="O845" s="40"/>
    </row>
    <row r="846" spans="1:15">
      <c r="A846" s="28" t="s">
        <v>1161</v>
      </c>
      <c r="B846" s="37">
        <v>0.068</v>
      </c>
      <c r="C846" s="37">
        <v>0.047</v>
      </c>
      <c r="D846" s="37">
        <v>1.127</v>
      </c>
      <c r="E846" s="37">
        <v>0.724</v>
      </c>
      <c r="F846">
        <v>0.0406</v>
      </c>
      <c r="G846">
        <v>6.7272</v>
      </c>
      <c r="I846" s="38"/>
      <c r="J846" s="39"/>
      <c r="K846" s="39"/>
      <c r="L846" s="39"/>
      <c r="M846" s="39"/>
      <c r="N846" s="40"/>
      <c r="O846" s="40"/>
    </row>
    <row r="847" spans="1:15">
      <c r="A847" s="28" t="s">
        <v>1162</v>
      </c>
      <c r="B847" s="37">
        <v>0.066</v>
      </c>
      <c r="C847" s="37">
        <v>0.041</v>
      </c>
      <c r="D847" s="37">
        <v>1.091</v>
      </c>
      <c r="E847" s="37">
        <v>0.629</v>
      </c>
      <c r="F847">
        <v>0.0406</v>
      </c>
      <c r="G847">
        <v>6.7046</v>
      </c>
      <c r="I847" s="38"/>
      <c r="J847" s="39"/>
      <c r="K847" s="39"/>
      <c r="L847" s="39"/>
      <c r="M847" s="39"/>
      <c r="N847" s="40"/>
      <c r="O847" s="40"/>
    </row>
    <row r="848" spans="1:15">
      <c r="A848" s="28" t="s">
        <v>1163</v>
      </c>
      <c r="B848" s="37">
        <v>0.063</v>
      </c>
      <c r="C848" s="37">
        <v>0.039</v>
      </c>
      <c r="D848" s="37">
        <v>1.032</v>
      </c>
      <c r="E848" s="37">
        <v>0.601</v>
      </c>
      <c r="F848">
        <v>0.0404</v>
      </c>
      <c r="G848">
        <v>6.747</v>
      </c>
      <c r="I848" s="38"/>
      <c r="J848" s="39"/>
      <c r="K848" s="39"/>
      <c r="L848" s="39"/>
      <c r="M848" s="39"/>
      <c r="N848" s="40"/>
      <c r="O848" s="40"/>
    </row>
    <row r="849" spans="1:15">
      <c r="A849" s="28" t="s">
        <v>1164</v>
      </c>
      <c r="B849" s="37">
        <v>0.059</v>
      </c>
      <c r="C849" s="37">
        <v>0.05</v>
      </c>
      <c r="D849" s="37">
        <v>0.973</v>
      </c>
      <c r="E849" s="37">
        <v>0.762</v>
      </c>
      <c r="F849">
        <v>0.0409</v>
      </c>
      <c r="G849">
        <v>6.8257</v>
      </c>
      <c r="I849" s="38"/>
      <c r="J849" s="39"/>
      <c r="K849" s="39"/>
      <c r="L849" s="39"/>
      <c r="M849" s="39"/>
      <c r="N849" s="40"/>
      <c r="O849" s="40"/>
    </row>
    <row r="850" spans="1:15">
      <c r="A850" s="28" t="s">
        <v>1165</v>
      </c>
      <c r="B850" s="37">
        <v>0.058</v>
      </c>
      <c r="C850" s="37">
        <v>0.05</v>
      </c>
      <c r="D850" s="37">
        <v>0.951</v>
      </c>
      <c r="E850" s="37">
        <v>0.762</v>
      </c>
      <c r="F850">
        <v>0.0409</v>
      </c>
      <c r="G850">
        <v>6.8419</v>
      </c>
      <c r="I850" s="38"/>
      <c r="J850" s="39"/>
      <c r="K850" s="39"/>
      <c r="L850" s="39"/>
      <c r="M850" s="39"/>
      <c r="N850" s="40"/>
      <c r="O850" s="40"/>
    </row>
    <row r="851" spans="1:15">
      <c r="A851" s="28" t="s">
        <v>1166</v>
      </c>
      <c r="B851" s="37">
        <v>0.055</v>
      </c>
      <c r="C851" s="37">
        <v>0.05</v>
      </c>
      <c r="D851" s="37">
        <v>0.905</v>
      </c>
      <c r="E851" s="37">
        <v>0.775</v>
      </c>
      <c r="F851">
        <v>0.0411</v>
      </c>
      <c r="G851">
        <v>6.789</v>
      </c>
      <c r="I851" s="38"/>
      <c r="J851" s="39"/>
      <c r="K851" s="39"/>
      <c r="L851" s="39"/>
      <c r="M851" s="39"/>
      <c r="N851" s="40"/>
      <c r="O851" s="40"/>
    </row>
    <row r="852" spans="1:15">
      <c r="A852" s="28" t="s">
        <v>1167</v>
      </c>
      <c r="B852" s="37">
        <v>0.054</v>
      </c>
      <c r="C852" s="37">
        <v>0.049</v>
      </c>
      <c r="D852" s="37">
        <v>0.877</v>
      </c>
      <c r="E852" s="37">
        <v>0.752</v>
      </c>
      <c r="F852">
        <v>0.0412</v>
      </c>
      <c r="G852">
        <v>6.82</v>
      </c>
      <c r="I852" s="38"/>
      <c r="J852" s="39"/>
      <c r="K852" s="39"/>
      <c r="L852" s="39"/>
      <c r="M852" s="39"/>
      <c r="N852" s="40"/>
      <c r="O852" s="40"/>
    </row>
    <row r="853" spans="1:15">
      <c r="A853" s="28" t="s">
        <v>1168</v>
      </c>
      <c r="B853" s="37">
        <v>0.052</v>
      </c>
      <c r="C853" s="37">
        <v>0.057</v>
      </c>
      <c r="D853" s="37">
        <v>0.851</v>
      </c>
      <c r="E853" s="37">
        <v>0.894</v>
      </c>
      <c r="F853">
        <v>0.0409</v>
      </c>
      <c r="G853">
        <v>6.8049</v>
      </c>
      <c r="I853" s="38"/>
      <c r="J853" s="39"/>
      <c r="K853" s="39"/>
      <c r="L853" s="39"/>
      <c r="M853" s="39"/>
      <c r="N853" s="40"/>
      <c r="O853" s="40"/>
    </row>
    <row r="854" spans="1:15">
      <c r="A854" s="28" t="s">
        <v>1169</v>
      </c>
      <c r="B854" s="37">
        <v>0.049</v>
      </c>
      <c r="C854" s="37">
        <v>0.05</v>
      </c>
      <c r="D854" s="37">
        <v>0.802</v>
      </c>
      <c r="E854" s="37">
        <v>0.786</v>
      </c>
      <c r="F854">
        <v>0.0409</v>
      </c>
      <c r="G854">
        <v>6.8447</v>
      </c>
      <c r="I854" s="38"/>
      <c r="J854" s="39"/>
      <c r="K854" s="39"/>
      <c r="L854" s="39"/>
      <c r="M854" s="39"/>
      <c r="N854" s="40"/>
      <c r="O854" s="40"/>
    </row>
    <row r="855" spans="1:15">
      <c r="A855" s="28" t="s">
        <v>1170</v>
      </c>
      <c r="B855" s="37">
        <v>0.049</v>
      </c>
      <c r="C855" s="37">
        <v>0.046</v>
      </c>
      <c r="D855" s="37">
        <v>0.801</v>
      </c>
      <c r="E855" s="37">
        <v>0.727</v>
      </c>
      <c r="F855">
        <v>0.0409</v>
      </c>
      <c r="G855">
        <v>6.8419</v>
      </c>
      <c r="I855" s="38"/>
      <c r="J855" s="39"/>
      <c r="K855" s="39"/>
      <c r="L855" s="39"/>
      <c r="M855" s="39"/>
      <c r="N855" s="40"/>
      <c r="O855" s="40"/>
    </row>
    <row r="856" spans="1:15">
      <c r="A856" s="28" t="s">
        <v>1171</v>
      </c>
      <c r="B856" s="37">
        <v>0.05</v>
      </c>
      <c r="C856" s="37">
        <v>0.046</v>
      </c>
      <c r="D856" s="37">
        <v>0.815</v>
      </c>
      <c r="E856" s="37">
        <v>0.722</v>
      </c>
      <c r="F856">
        <v>0.041</v>
      </c>
      <c r="G856">
        <v>6.8908</v>
      </c>
      <c r="I856" s="38"/>
      <c r="J856" s="39"/>
      <c r="K856" s="39"/>
      <c r="L856" s="39"/>
      <c r="M856" s="39"/>
      <c r="N856" s="40"/>
      <c r="O856" s="40"/>
    </row>
    <row r="857" spans="1:15">
      <c r="A857" s="28" t="s">
        <v>1172</v>
      </c>
      <c r="B857" s="37">
        <v>0.051</v>
      </c>
      <c r="C857" s="37">
        <v>0.045</v>
      </c>
      <c r="D857" s="37">
        <v>0.825</v>
      </c>
      <c r="E857" s="37">
        <v>0.707</v>
      </c>
      <c r="F857">
        <v>0.0411</v>
      </c>
      <c r="G857">
        <v>6.9686</v>
      </c>
      <c r="I857" s="38"/>
      <c r="J857" s="39"/>
      <c r="K857" s="39"/>
      <c r="L857" s="39"/>
      <c r="M857" s="39"/>
      <c r="N857" s="40"/>
      <c r="O857" s="40"/>
    </row>
    <row r="858" spans="1:15">
      <c r="A858" s="28" t="s">
        <v>1173</v>
      </c>
      <c r="B858" s="37">
        <v>0.053</v>
      </c>
      <c r="C858" s="37">
        <v>0.045</v>
      </c>
      <c r="D858" s="37">
        <v>0.856</v>
      </c>
      <c r="E858" s="37">
        <v>0.709</v>
      </c>
      <c r="F858">
        <v>0.0414</v>
      </c>
      <c r="G858">
        <v>7.0078</v>
      </c>
      <c r="I858" s="38"/>
      <c r="J858" s="39"/>
      <c r="K858" s="39"/>
      <c r="L858" s="39"/>
      <c r="M858" s="39"/>
      <c r="N858" s="40"/>
      <c r="O858" s="40"/>
    </row>
    <row r="859" spans="1:15">
      <c r="A859" s="28" t="s">
        <v>1174</v>
      </c>
      <c r="B859" s="37">
        <v>0.054</v>
      </c>
      <c r="C859" s="37">
        <v>0.037</v>
      </c>
      <c r="D859" s="37">
        <v>0.863</v>
      </c>
      <c r="E859" s="37">
        <v>0.577</v>
      </c>
      <c r="F859">
        <v>0.0417</v>
      </c>
      <c r="G859">
        <v>6.9932</v>
      </c>
      <c r="I859" s="38"/>
      <c r="J859" s="39"/>
      <c r="K859" s="39"/>
      <c r="L859" s="39"/>
      <c r="M859" s="39"/>
      <c r="N859" s="40"/>
      <c r="O859" s="40"/>
    </row>
    <row r="860" spans="1:15">
      <c r="A860" s="28" t="s">
        <v>1175</v>
      </c>
      <c r="B860" s="37">
        <v>0.056</v>
      </c>
      <c r="C860" s="37">
        <v>0.037</v>
      </c>
      <c r="D860" s="37">
        <v>0.896</v>
      </c>
      <c r="E860" s="37">
        <v>0.576</v>
      </c>
      <c r="F860">
        <v>0.0417</v>
      </c>
      <c r="G860">
        <v>6.973</v>
      </c>
      <c r="I860" s="38"/>
      <c r="J860" s="39"/>
      <c r="K860" s="39"/>
      <c r="L860" s="39"/>
      <c r="M860" s="39"/>
      <c r="N860" s="40"/>
      <c r="O860" s="40"/>
    </row>
    <row r="861" spans="1:15">
      <c r="A861" s="28" t="s">
        <v>1176</v>
      </c>
      <c r="B861" s="37">
        <v>0.056</v>
      </c>
      <c r="C861" s="37">
        <v>0.037</v>
      </c>
      <c r="D861" s="37">
        <v>0.904</v>
      </c>
      <c r="E861" s="37">
        <v>0.575</v>
      </c>
      <c r="F861">
        <v>0.0414</v>
      </c>
      <c r="G861">
        <v>7.0056</v>
      </c>
      <c r="I861" s="38"/>
      <c r="J861" s="39"/>
      <c r="K861" s="39"/>
      <c r="L861" s="39"/>
      <c r="M861" s="39"/>
      <c r="N861" s="40"/>
      <c r="O861" s="40"/>
    </row>
    <row r="862" spans="1:15">
      <c r="A862" s="28" t="s">
        <v>1177</v>
      </c>
      <c r="B862" s="37">
        <v>0.057</v>
      </c>
      <c r="C862" s="37">
        <v>0.043</v>
      </c>
      <c r="D862" s="37">
        <v>0.91</v>
      </c>
      <c r="E862" s="37">
        <v>0.664</v>
      </c>
      <c r="F862">
        <v>0.0417</v>
      </c>
      <c r="G862">
        <v>7.0249</v>
      </c>
      <c r="I862" s="38"/>
      <c r="J862" s="39"/>
      <c r="K862" s="39"/>
      <c r="L862" s="39"/>
      <c r="M862" s="39"/>
      <c r="N862" s="40"/>
      <c r="O862" s="40"/>
    </row>
    <row r="863" spans="1:15">
      <c r="A863" s="28" t="s">
        <v>1178</v>
      </c>
      <c r="B863" s="37">
        <v>0.056</v>
      </c>
      <c r="C863" s="37">
        <v>0.045</v>
      </c>
      <c r="D863" s="37">
        <v>0.9</v>
      </c>
      <c r="E863" s="37">
        <v>0.713</v>
      </c>
      <c r="F863">
        <v>0.0419</v>
      </c>
      <c r="G863">
        <v>7.0435</v>
      </c>
      <c r="I863" s="38"/>
      <c r="J863" s="39"/>
      <c r="K863" s="39"/>
      <c r="L863" s="39"/>
      <c r="M863" s="39"/>
      <c r="N863" s="40"/>
      <c r="O863" s="40"/>
    </row>
    <row r="864" spans="1:15">
      <c r="A864" s="28" t="s">
        <v>1179</v>
      </c>
      <c r="B864" s="37">
        <v>0.058</v>
      </c>
      <c r="C864" s="37">
        <v>0.045</v>
      </c>
      <c r="D864" s="37">
        <v>0.923</v>
      </c>
      <c r="E864" s="37">
        <v>0.707</v>
      </c>
      <c r="F864">
        <v>0.0419</v>
      </c>
      <c r="G864">
        <v>7.0383</v>
      </c>
      <c r="I864" s="38"/>
      <c r="J864" s="39"/>
      <c r="K864" s="39"/>
      <c r="L864" s="39"/>
      <c r="M864" s="39"/>
      <c r="N864" s="40"/>
      <c r="O864" s="40"/>
    </row>
    <row r="865" spans="1:15">
      <c r="A865" s="28" t="s">
        <v>1180</v>
      </c>
      <c r="B865" s="37">
        <v>0.058</v>
      </c>
      <c r="C865" s="37">
        <v>0.054</v>
      </c>
      <c r="D865" s="37">
        <v>0.913</v>
      </c>
      <c r="E865" s="37">
        <v>0.823</v>
      </c>
      <c r="F865">
        <v>0.0418</v>
      </c>
      <c r="G865">
        <v>7.0554</v>
      </c>
      <c r="I865" s="38"/>
      <c r="J865" s="39"/>
      <c r="K865" s="39"/>
      <c r="L865" s="39"/>
      <c r="M865" s="39"/>
      <c r="N865" s="40"/>
      <c r="O865" s="40"/>
    </row>
    <row r="866" spans="1:15">
      <c r="A866" s="28" t="s">
        <v>1181</v>
      </c>
      <c r="B866" s="37">
        <v>0.059</v>
      </c>
      <c r="C866" s="37">
        <v>0.044</v>
      </c>
      <c r="D866" s="37">
        <v>0.933</v>
      </c>
      <c r="E866" s="37">
        <v>0.681</v>
      </c>
      <c r="F866">
        <v>0.0418</v>
      </c>
      <c r="G866">
        <v>7.1425</v>
      </c>
      <c r="I866" s="38"/>
      <c r="J866" s="39"/>
      <c r="K866" s="39"/>
      <c r="L866" s="39"/>
      <c r="M866" s="39"/>
      <c r="N866" s="40"/>
      <c r="O866" s="40"/>
    </row>
    <row r="867" spans="1:15">
      <c r="A867" s="28" t="s">
        <v>1182</v>
      </c>
      <c r="B867" s="37">
        <v>0.062</v>
      </c>
      <c r="C867" s="37">
        <v>0.042</v>
      </c>
      <c r="D867" s="37">
        <v>0.977</v>
      </c>
      <c r="E867" s="37">
        <v>0.652</v>
      </c>
      <c r="F867">
        <v>0.0421</v>
      </c>
      <c r="G867">
        <v>7.1999</v>
      </c>
      <c r="I867" s="38"/>
      <c r="J867" s="39"/>
      <c r="K867" s="39"/>
      <c r="L867" s="39"/>
      <c r="M867" s="39"/>
      <c r="N867" s="40"/>
      <c r="O867" s="40"/>
    </row>
    <row r="868" spans="1:15">
      <c r="A868" s="28" t="s">
        <v>1183</v>
      </c>
      <c r="B868" s="37">
        <v>0.063</v>
      </c>
      <c r="C868" s="37">
        <v>0.042</v>
      </c>
      <c r="D868" s="37">
        <v>0.989</v>
      </c>
      <c r="E868" s="37">
        <v>0.649</v>
      </c>
      <c r="F868">
        <v>0.0421</v>
      </c>
      <c r="G868">
        <v>7.2454</v>
      </c>
      <c r="I868" s="38"/>
      <c r="J868" s="39"/>
      <c r="K868" s="39"/>
      <c r="L868" s="39"/>
      <c r="M868" s="39"/>
      <c r="N868" s="40"/>
      <c r="O868" s="40"/>
    </row>
    <row r="869" spans="1:15">
      <c r="A869" s="28" t="s">
        <v>1184</v>
      </c>
      <c r="B869" s="37">
        <v>0.062</v>
      </c>
      <c r="C869" s="37">
        <v>0.042</v>
      </c>
      <c r="D869" s="37">
        <v>0.972</v>
      </c>
      <c r="E869" s="37">
        <v>0.644</v>
      </c>
      <c r="F869">
        <v>0.0423</v>
      </c>
      <c r="G869">
        <v>7.2286</v>
      </c>
      <c r="I869" s="38"/>
      <c r="J869" s="39"/>
      <c r="K869" s="39"/>
      <c r="L869" s="39"/>
      <c r="M869" s="39"/>
      <c r="N869" s="40"/>
      <c r="O869" s="40"/>
    </row>
    <row r="870" spans="1:15">
      <c r="A870" s="28" t="s">
        <v>1185</v>
      </c>
      <c r="B870" s="37">
        <v>0.065</v>
      </c>
      <c r="C870" s="37">
        <v>0.048</v>
      </c>
      <c r="D870" s="37">
        <v>1.018</v>
      </c>
      <c r="E870" s="37">
        <v>0.727</v>
      </c>
      <c r="F870">
        <v>0.0421</v>
      </c>
      <c r="G870">
        <v>7.2293</v>
      </c>
      <c r="I870" s="38"/>
      <c r="J870" s="39"/>
      <c r="K870" s="39"/>
      <c r="L870" s="39"/>
      <c r="M870" s="39"/>
      <c r="N870" s="40"/>
      <c r="O870" s="40"/>
    </row>
    <row r="871" spans="1:15">
      <c r="A871" s="28" t="s">
        <v>1186</v>
      </c>
      <c r="B871" s="37">
        <v>0.066</v>
      </c>
      <c r="C871" s="37">
        <v>0.042</v>
      </c>
      <c r="D871" s="37">
        <v>1.033</v>
      </c>
      <c r="E871" s="37">
        <v>0.642</v>
      </c>
      <c r="F871">
        <v>0.042</v>
      </c>
      <c r="G871">
        <v>7.2882</v>
      </c>
      <c r="I871" s="38"/>
      <c r="J871" s="39"/>
      <c r="K871" s="39"/>
      <c r="L871" s="39"/>
      <c r="M871" s="39"/>
      <c r="N871" s="40"/>
      <c r="O871" s="40"/>
    </row>
    <row r="872" spans="1:15">
      <c r="A872" s="28" t="s">
        <v>1187</v>
      </c>
      <c r="B872" s="37">
        <v>0.065</v>
      </c>
      <c r="C872" s="37">
        <v>0.046</v>
      </c>
      <c r="D872" s="37">
        <v>1.015</v>
      </c>
      <c r="E872" s="37">
        <v>0.684</v>
      </c>
      <c r="F872">
        <v>0.0419</v>
      </c>
      <c r="G872">
        <v>7.3602</v>
      </c>
      <c r="I872" s="38"/>
      <c r="J872" s="39"/>
      <c r="K872" s="39"/>
      <c r="L872" s="39"/>
      <c r="M872" s="39"/>
      <c r="N872" s="40"/>
      <c r="O872" s="40"/>
    </row>
    <row r="873" spans="1:15">
      <c r="A873" s="28" t="s">
        <v>1188</v>
      </c>
      <c r="B873" s="37">
        <v>0.065</v>
      </c>
      <c r="C873" s="37">
        <v>0.054</v>
      </c>
      <c r="D873" s="37">
        <v>1.009</v>
      </c>
      <c r="E873" s="37">
        <v>0.811</v>
      </c>
      <c r="F873">
        <v>0.0421</v>
      </c>
      <c r="G873">
        <v>7.3415</v>
      </c>
      <c r="I873" s="38"/>
      <c r="J873" s="39"/>
      <c r="K873" s="39"/>
      <c r="L873" s="39"/>
      <c r="M873" s="39"/>
      <c r="N873" s="40"/>
      <c r="O873" s="40"/>
    </row>
    <row r="874" spans="1:15">
      <c r="A874" s="28" t="s">
        <v>1189</v>
      </c>
      <c r="B874" s="37">
        <v>0.067</v>
      </c>
      <c r="C874" s="37">
        <v>0.051</v>
      </c>
      <c r="D874" s="37">
        <v>1.034</v>
      </c>
      <c r="E874" s="37">
        <v>0.757</v>
      </c>
      <c r="F874">
        <v>0.0424</v>
      </c>
      <c r="G874">
        <v>7.348</v>
      </c>
      <c r="I874" s="38"/>
      <c r="J874" s="39"/>
      <c r="K874" s="39"/>
      <c r="L874" s="39"/>
      <c r="M874" s="39"/>
      <c r="N874" s="40"/>
      <c r="O874" s="40"/>
    </row>
    <row r="875" spans="1:15">
      <c r="A875" s="28" t="s">
        <v>1190</v>
      </c>
      <c r="B875" s="37">
        <v>0.067</v>
      </c>
      <c r="C875" s="37">
        <v>0.051</v>
      </c>
      <c r="D875" s="37">
        <v>1.03</v>
      </c>
      <c r="E875" s="37">
        <v>0.757</v>
      </c>
      <c r="F875">
        <v>0.0424</v>
      </c>
      <c r="G875">
        <v>7.3321</v>
      </c>
      <c r="I875" s="38"/>
      <c r="J875" s="39"/>
      <c r="K875" s="39"/>
      <c r="L875" s="39"/>
      <c r="M875" s="39"/>
      <c r="N875" s="40"/>
      <c r="O875" s="40"/>
    </row>
    <row r="876" spans="1:15">
      <c r="A876" s="28" t="s">
        <v>1191</v>
      </c>
      <c r="B876" s="37">
        <v>0.067</v>
      </c>
      <c r="C876" s="37">
        <v>0.051</v>
      </c>
      <c r="D876" s="37">
        <v>1.04</v>
      </c>
      <c r="E876" s="37">
        <v>0.758</v>
      </c>
      <c r="F876">
        <v>0.0427</v>
      </c>
      <c r="G876">
        <v>7.4099</v>
      </c>
      <c r="I876" s="38"/>
      <c r="J876" s="39"/>
      <c r="K876" s="39"/>
      <c r="L876" s="39"/>
      <c r="M876" s="39"/>
      <c r="N876" s="40"/>
      <c r="O876" s="40"/>
    </row>
    <row r="877" spans="1:15">
      <c r="A877" s="28" t="s">
        <v>1192</v>
      </c>
      <c r="B877" s="37">
        <v>0.068</v>
      </c>
      <c r="C877" s="37">
        <v>0.051</v>
      </c>
      <c r="D877" s="37">
        <v>1.05</v>
      </c>
      <c r="E877" s="37">
        <v>0.762</v>
      </c>
      <c r="F877">
        <v>0.0428</v>
      </c>
      <c r="G877">
        <v>7.481</v>
      </c>
      <c r="I877" s="38"/>
      <c r="J877" s="39"/>
      <c r="K877" s="39"/>
      <c r="L877" s="39"/>
      <c r="M877" s="39"/>
      <c r="N877" s="40"/>
      <c r="O877" s="40"/>
    </row>
    <row r="878" spans="1:15">
      <c r="A878" s="28" t="s">
        <v>1193</v>
      </c>
      <c r="B878" s="37">
        <v>0.068</v>
      </c>
      <c r="C878" s="37">
        <v>0.054</v>
      </c>
      <c r="D878" s="37">
        <v>1.048</v>
      </c>
      <c r="E878" s="37">
        <v>0.801</v>
      </c>
      <c r="F878">
        <v>0.0429</v>
      </c>
      <c r="G878">
        <v>7.5081</v>
      </c>
      <c r="I878" s="38"/>
      <c r="J878" s="39"/>
      <c r="K878" s="39"/>
      <c r="L878" s="39"/>
      <c r="M878" s="39"/>
      <c r="N878" s="40"/>
      <c r="O878" s="40"/>
    </row>
    <row r="879" spans="1:15">
      <c r="A879" s="28" t="s">
        <v>1194</v>
      </c>
      <c r="B879" s="37">
        <v>0.07</v>
      </c>
      <c r="C879" s="37">
        <v>0.051</v>
      </c>
      <c r="D879" s="37">
        <v>1.074</v>
      </c>
      <c r="E879" s="37">
        <v>0.744</v>
      </c>
      <c r="F879">
        <v>0.043</v>
      </c>
      <c r="G879">
        <v>7.4956</v>
      </c>
      <c r="I879" s="38"/>
      <c r="J879" s="39"/>
      <c r="K879" s="39"/>
      <c r="L879" s="39"/>
      <c r="M879" s="39"/>
      <c r="N879" s="40"/>
      <c r="O879" s="40"/>
    </row>
    <row r="880" spans="1:15">
      <c r="A880" s="28" t="s">
        <v>1195</v>
      </c>
      <c r="B880" s="37">
        <v>0.07</v>
      </c>
      <c r="C880" s="37">
        <v>0.051</v>
      </c>
      <c r="D880" s="37">
        <v>1.063</v>
      </c>
      <c r="E880" s="37">
        <v>0.741</v>
      </c>
      <c r="F880">
        <v>0.0431</v>
      </c>
      <c r="G880">
        <v>7.5129</v>
      </c>
      <c r="I880" s="38"/>
      <c r="J880" s="39"/>
      <c r="K880" s="39"/>
      <c r="L880" s="39"/>
      <c r="M880" s="39"/>
      <c r="N880" s="40"/>
      <c r="O880" s="40"/>
    </row>
    <row r="881" spans="1:15">
      <c r="A881" s="28" t="s">
        <v>1196</v>
      </c>
      <c r="B881" s="37">
        <v>0.072</v>
      </c>
      <c r="C881" s="37">
        <v>0.051</v>
      </c>
      <c r="D881" s="37">
        <v>1.093</v>
      </c>
      <c r="E881" s="37">
        <v>0.738</v>
      </c>
      <c r="F881">
        <v>0.0435</v>
      </c>
      <c r="G881">
        <v>7.4932</v>
      </c>
      <c r="I881" s="38"/>
      <c r="J881" s="39"/>
      <c r="K881" s="39"/>
      <c r="L881" s="39"/>
      <c r="M881" s="39"/>
      <c r="N881" s="40"/>
      <c r="O881" s="40"/>
    </row>
    <row r="882" spans="1:15">
      <c r="A882" s="28" t="s">
        <v>1197</v>
      </c>
      <c r="B882" s="37">
        <v>0.071</v>
      </c>
      <c r="C882" s="37">
        <v>0.046</v>
      </c>
      <c r="D882" s="37">
        <v>1.075</v>
      </c>
      <c r="E882" s="37">
        <v>0.663</v>
      </c>
      <c r="F882">
        <v>0.0435</v>
      </c>
      <c r="G882">
        <v>7.5375</v>
      </c>
      <c r="I882" s="38"/>
      <c r="J882" s="39"/>
      <c r="K882" s="39"/>
      <c r="L882" s="39"/>
      <c r="M882" s="39"/>
      <c r="N882" s="40"/>
      <c r="O882" s="40"/>
    </row>
    <row r="883" spans="1:15">
      <c r="A883" s="28" t="s">
        <v>1198</v>
      </c>
      <c r="B883" s="37">
        <v>0.071</v>
      </c>
      <c r="C883" s="37">
        <v>0.052</v>
      </c>
      <c r="D883" s="37">
        <v>1.079</v>
      </c>
      <c r="E883" s="37">
        <v>0.747</v>
      </c>
      <c r="F883">
        <v>0.0441</v>
      </c>
      <c r="G883">
        <v>7.5679</v>
      </c>
      <c r="I883" s="38"/>
      <c r="J883" s="39"/>
      <c r="K883" s="39"/>
      <c r="L883" s="39"/>
      <c r="M883" s="39"/>
      <c r="N883" s="40"/>
      <c r="O883" s="40"/>
    </row>
    <row r="884" spans="1:15">
      <c r="A884" s="28" t="s">
        <v>1199</v>
      </c>
      <c r="B884" s="37">
        <v>0.071</v>
      </c>
      <c r="C884" s="37">
        <v>0.052</v>
      </c>
      <c r="D884" s="37">
        <v>1.076</v>
      </c>
      <c r="E884" s="37">
        <v>0.749</v>
      </c>
      <c r="F884">
        <v>0.0443</v>
      </c>
      <c r="G884">
        <v>7.5564</v>
      </c>
      <c r="I884" s="38"/>
      <c r="J884" s="39"/>
      <c r="K884" s="39"/>
      <c r="L884" s="39"/>
      <c r="M884" s="39"/>
      <c r="N884" s="40"/>
      <c r="O884" s="40"/>
    </row>
    <row r="885" spans="1:15">
      <c r="A885" s="28" t="s">
        <v>1200</v>
      </c>
      <c r="B885" s="37">
        <v>0.072</v>
      </c>
      <c r="C885" s="37">
        <v>0.043</v>
      </c>
      <c r="D885" s="37">
        <v>1.085</v>
      </c>
      <c r="E885" s="37">
        <v>0.627</v>
      </c>
      <c r="F885">
        <v>0.0448</v>
      </c>
      <c r="G885">
        <v>7.5707</v>
      </c>
      <c r="I885" s="38"/>
      <c r="J885" s="39"/>
      <c r="K885" s="39"/>
      <c r="L885" s="39"/>
      <c r="M885" s="39"/>
      <c r="N885" s="40"/>
      <c r="O885" s="40"/>
    </row>
    <row r="886" spans="1:15">
      <c r="A886" s="28" t="s">
        <v>1201</v>
      </c>
      <c r="B886" s="37">
        <v>0.071</v>
      </c>
      <c r="C886" s="37">
        <v>0.03</v>
      </c>
      <c r="D886" s="37">
        <v>1.062</v>
      </c>
      <c r="E886" s="37">
        <v>0.434</v>
      </c>
      <c r="F886">
        <v>0.0449</v>
      </c>
      <c r="G886">
        <v>7.592</v>
      </c>
      <c r="I886" s="38"/>
      <c r="J886" s="39"/>
      <c r="K886" s="39"/>
      <c r="L886" s="39"/>
      <c r="M886" s="39"/>
      <c r="N886" s="40"/>
      <c r="O886" s="40"/>
    </row>
    <row r="887" spans="1:15">
      <c r="A887" s="28" t="s">
        <v>1202</v>
      </c>
      <c r="B887" s="37">
        <v>0.072</v>
      </c>
      <c r="C887" s="37">
        <v>0.03</v>
      </c>
      <c r="D887" s="37">
        <v>1.081</v>
      </c>
      <c r="E887" s="37">
        <v>0.435</v>
      </c>
      <c r="F887">
        <v>0.0448</v>
      </c>
      <c r="G887">
        <v>7.6001</v>
      </c>
      <c r="I887" s="38"/>
      <c r="J887" s="39"/>
      <c r="K887" s="39"/>
      <c r="L887" s="39"/>
      <c r="M887" s="39"/>
      <c r="N887" s="40"/>
      <c r="O887" s="40"/>
    </row>
    <row r="888" spans="1:15">
      <c r="A888" s="28" t="s">
        <v>1203</v>
      </c>
      <c r="B888" s="37">
        <v>0.073</v>
      </c>
      <c r="C888" s="37">
        <v>0.038</v>
      </c>
      <c r="D888" s="37">
        <v>1.082</v>
      </c>
      <c r="E888" s="37">
        <v>0.546</v>
      </c>
      <c r="F888">
        <v>0.0449</v>
      </c>
      <c r="G888">
        <v>7.5712</v>
      </c>
      <c r="I888" s="38"/>
      <c r="J888" s="39"/>
      <c r="K888" s="39"/>
      <c r="L888" s="39"/>
      <c r="M888" s="39"/>
      <c r="N888" s="40"/>
      <c r="O888" s="40"/>
    </row>
    <row r="889" spans="1:15">
      <c r="A889" s="28" t="s">
        <v>1204</v>
      </c>
      <c r="B889" s="37">
        <v>0.074</v>
      </c>
      <c r="C889" s="37">
        <v>0.043</v>
      </c>
      <c r="D889" s="37">
        <v>1.105</v>
      </c>
      <c r="E889" s="37">
        <v>0.617</v>
      </c>
      <c r="F889">
        <v>0.0448</v>
      </c>
      <c r="G889">
        <v>7.5101</v>
      </c>
      <c r="I889" s="38"/>
      <c r="J889" s="39"/>
      <c r="K889" s="39"/>
      <c r="L889" s="39"/>
      <c r="M889" s="39"/>
      <c r="N889" s="40"/>
      <c r="O889" s="40"/>
    </row>
    <row r="890" spans="1:15">
      <c r="A890" s="28" t="s">
        <v>1205</v>
      </c>
      <c r="B890" s="37">
        <v>0.075</v>
      </c>
      <c r="C890" s="37">
        <v>0.043</v>
      </c>
      <c r="D890" s="37">
        <v>1.107</v>
      </c>
      <c r="E890" s="37">
        <v>0.62</v>
      </c>
      <c r="F890">
        <v>0.0451</v>
      </c>
      <c r="G890">
        <v>7.5622</v>
      </c>
      <c r="I890" s="38"/>
      <c r="J890" s="39"/>
      <c r="K890" s="39"/>
      <c r="L890" s="39"/>
      <c r="M890" s="39"/>
      <c r="N890" s="40"/>
      <c r="O890" s="40"/>
    </row>
    <row r="891" spans="1:15">
      <c r="A891" s="28" t="s">
        <v>1206</v>
      </c>
      <c r="B891" s="37">
        <v>0.076</v>
      </c>
      <c r="C891" s="37">
        <v>0.049</v>
      </c>
      <c r="D891" s="37">
        <v>1.123</v>
      </c>
      <c r="E891" s="37">
        <v>0.692</v>
      </c>
      <c r="F891">
        <v>0.0453</v>
      </c>
      <c r="G891">
        <v>7.5906</v>
      </c>
      <c r="I891" s="38"/>
      <c r="J891" s="39"/>
      <c r="K891" s="39"/>
      <c r="L891" s="39"/>
      <c r="M891" s="39"/>
      <c r="N891" s="40"/>
      <c r="O891" s="40"/>
    </row>
    <row r="892" spans="1:15">
      <c r="A892" s="28" t="s">
        <v>1207</v>
      </c>
      <c r="B892" s="37">
        <v>0.074</v>
      </c>
      <c r="C892" s="37">
        <v>0.047</v>
      </c>
      <c r="D892" s="37">
        <v>1.093</v>
      </c>
      <c r="E892" s="37">
        <v>0.67</v>
      </c>
      <c r="F892">
        <v>0.0453</v>
      </c>
      <c r="G892">
        <v>7.602</v>
      </c>
      <c r="I892" s="38"/>
      <c r="J892" s="39"/>
      <c r="K892" s="39"/>
      <c r="L892" s="39"/>
      <c r="M892" s="39"/>
      <c r="N892" s="40"/>
      <c r="O892" s="40"/>
    </row>
    <row r="893" spans="1:15">
      <c r="A893" s="28" t="s">
        <v>1208</v>
      </c>
      <c r="B893" s="37">
        <v>0.073</v>
      </c>
      <c r="C893" s="37">
        <v>0.049</v>
      </c>
      <c r="D893" s="37">
        <v>1.074</v>
      </c>
      <c r="E893" s="37">
        <v>0.685</v>
      </c>
      <c r="F893">
        <v>0.0455</v>
      </c>
      <c r="G893">
        <v>7.6254</v>
      </c>
      <c r="I893" s="38"/>
      <c r="J893" s="39"/>
      <c r="K893" s="39"/>
      <c r="L893" s="39"/>
      <c r="M893" s="39"/>
      <c r="N893" s="40"/>
      <c r="O893" s="40"/>
    </row>
    <row r="894" spans="1:15">
      <c r="A894" s="28" t="s">
        <v>1209</v>
      </c>
      <c r="B894" s="37">
        <v>0.075</v>
      </c>
      <c r="C894" s="37">
        <v>0.04</v>
      </c>
      <c r="D894" s="37">
        <v>1.095</v>
      </c>
      <c r="E894" s="37">
        <v>0.556</v>
      </c>
      <c r="F894">
        <v>0.0459</v>
      </c>
      <c r="G894">
        <v>7.6915</v>
      </c>
      <c r="I894" s="38"/>
      <c r="J894" s="39"/>
      <c r="K894" s="39"/>
      <c r="L894" s="39"/>
      <c r="M894" s="39"/>
      <c r="N894" s="40"/>
      <c r="O894" s="40"/>
    </row>
    <row r="895" spans="1:15">
      <c r="A895" s="28" t="s">
        <v>1210</v>
      </c>
      <c r="B895" s="37">
        <v>0.071</v>
      </c>
      <c r="C895" s="37">
        <v>0.039</v>
      </c>
      <c r="D895" s="37">
        <v>1.036</v>
      </c>
      <c r="E895" s="37">
        <v>0.551</v>
      </c>
      <c r="F895">
        <v>0.0459</v>
      </c>
      <c r="G895">
        <v>7.7237</v>
      </c>
      <c r="I895" s="38"/>
      <c r="J895" s="39"/>
      <c r="K895" s="39"/>
      <c r="L895" s="39"/>
      <c r="M895" s="39"/>
      <c r="N895" s="40"/>
      <c r="O895" s="40"/>
    </row>
    <row r="896" spans="1:15">
      <c r="A896" s="28" t="s">
        <v>1211</v>
      </c>
      <c r="B896" s="37">
        <v>0.073</v>
      </c>
      <c r="C896" s="37">
        <v>0.036</v>
      </c>
      <c r="D896" s="37">
        <v>1.06</v>
      </c>
      <c r="E896" s="37">
        <v>0.511</v>
      </c>
      <c r="F896">
        <v>0.0459</v>
      </c>
      <c r="G896">
        <v>7.7777</v>
      </c>
      <c r="I896" s="38"/>
      <c r="J896" s="39"/>
      <c r="K896" s="39"/>
      <c r="L896" s="39"/>
      <c r="M896" s="39"/>
      <c r="N896" s="40"/>
      <c r="O896" s="40"/>
    </row>
    <row r="897" spans="1:15">
      <c r="A897" s="28" t="s">
        <v>1212</v>
      </c>
      <c r="B897" s="37">
        <v>0.073</v>
      </c>
      <c r="C897" s="37">
        <v>0.025</v>
      </c>
      <c r="D897" s="37">
        <v>1.06</v>
      </c>
      <c r="E897" s="37">
        <v>0.343</v>
      </c>
      <c r="F897">
        <v>0.0459</v>
      </c>
      <c r="G897">
        <v>7.8609</v>
      </c>
      <c r="I897" s="38"/>
      <c r="J897" s="39"/>
      <c r="K897" s="39"/>
      <c r="L897" s="39"/>
      <c r="M897" s="39"/>
      <c r="N897" s="40"/>
      <c r="O897" s="40"/>
    </row>
    <row r="898" spans="1:15">
      <c r="A898" s="28" t="s">
        <v>1213</v>
      </c>
      <c r="B898" s="37">
        <v>0.072</v>
      </c>
      <c r="C898" s="37">
        <v>0.039</v>
      </c>
      <c r="D898" s="37">
        <v>1.044</v>
      </c>
      <c r="E898" s="37">
        <v>0.532</v>
      </c>
      <c r="F898">
        <v>0.0463</v>
      </c>
      <c r="G898">
        <v>7.9101</v>
      </c>
      <c r="I898" s="38"/>
      <c r="J898" s="39"/>
      <c r="K898" s="39"/>
      <c r="L898" s="39"/>
      <c r="M898" s="39"/>
      <c r="N898" s="40"/>
      <c r="O898" s="40"/>
    </row>
    <row r="899" spans="1:15">
      <c r="A899" s="28" t="s">
        <v>1214</v>
      </c>
      <c r="B899" s="37">
        <v>0.069</v>
      </c>
      <c r="C899" s="37">
        <v>0.031</v>
      </c>
      <c r="D899" s="37">
        <v>0.988</v>
      </c>
      <c r="E899" s="37">
        <v>0.427</v>
      </c>
      <c r="F899">
        <v>0.0466</v>
      </c>
      <c r="G899">
        <v>7.994</v>
      </c>
      <c r="I899" s="38"/>
      <c r="J899" s="39"/>
      <c r="K899" s="39"/>
      <c r="L899" s="39"/>
      <c r="M899" s="39"/>
      <c r="N899" s="40"/>
      <c r="O899" s="40"/>
    </row>
    <row r="900" spans="1:15">
      <c r="A900" s="28" t="s">
        <v>1215</v>
      </c>
      <c r="B900" s="37">
        <v>0.068</v>
      </c>
      <c r="C900" s="37">
        <v>0.014</v>
      </c>
      <c r="D900" s="37">
        <v>0.977</v>
      </c>
      <c r="E900" s="37">
        <v>0.192</v>
      </c>
      <c r="F900">
        <v>0.0467</v>
      </c>
      <c r="G900">
        <v>8.0684</v>
      </c>
      <c r="I900" s="38"/>
      <c r="J900" s="39"/>
      <c r="K900" s="39"/>
      <c r="L900" s="39"/>
      <c r="M900" s="39"/>
      <c r="N900" s="40"/>
      <c r="O900" s="40"/>
    </row>
    <row r="901" spans="1:15">
      <c r="A901" s="28" t="s">
        <v>1216</v>
      </c>
      <c r="B901" s="37">
        <v>0.064</v>
      </c>
      <c r="C901" s="37">
        <v>0.014</v>
      </c>
      <c r="D901" s="37">
        <v>0.911</v>
      </c>
      <c r="E901" s="37">
        <v>0.191</v>
      </c>
      <c r="F901">
        <v>0.0465</v>
      </c>
      <c r="G901">
        <v>8.0456</v>
      </c>
      <c r="I901" s="38"/>
      <c r="J901" s="39"/>
      <c r="K901" s="39"/>
      <c r="L901" s="39"/>
      <c r="M901" s="39"/>
      <c r="N901" s="40"/>
      <c r="O901" s="40"/>
    </row>
    <row r="902" spans="1:15">
      <c r="A902" s="28" t="s">
        <v>1217</v>
      </c>
      <c r="B902" s="37">
        <v>0.06</v>
      </c>
      <c r="C902" s="37">
        <v>0.011</v>
      </c>
      <c r="D902" s="37">
        <v>0.853</v>
      </c>
      <c r="E902" s="37">
        <v>0.147</v>
      </c>
      <c r="F902">
        <v>0.0466</v>
      </c>
      <c r="G902">
        <v>8.0418</v>
      </c>
      <c r="I902" s="38"/>
      <c r="J902" s="39"/>
      <c r="K902" s="39"/>
      <c r="L902" s="39"/>
      <c r="M902" s="39"/>
      <c r="N902" s="40"/>
      <c r="O902" s="40"/>
    </row>
    <row r="903" spans="1:15">
      <c r="A903" s="28" t="s">
        <v>1218</v>
      </c>
      <c r="B903" s="37">
        <v>0.056</v>
      </c>
      <c r="C903" s="37">
        <v>0.014</v>
      </c>
      <c r="D903" s="37">
        <v>0.788</v>
      </c>
      <c r="E903" s="37">
        <v>0.19</v>
      </c>
      <c r="F903">
        <v>0.047</v>
      </c>
      <c r="G903">
        <v>8.0813</v>
      </c>
      <c r="I903" s="38"/>
      <c r="J903" s="39"/>
      <c r="K903" s="39"/>
      <c r="L903" s="39"/>
      <c r="M903" s="39"/>
      <c r="N903" s="40"/>
      <c r="O903" s="40"/>
    </row>
    <row r="904" spans="1:15">
      <c r="A904" s="28" t="s">
        <v>1219</v>
      </c>
      <c r="B904" s="37">
        <v>0.05</v>
      </c>
      <c r="C904" s="37">
        <v>0.017</v>
      </c>
      <c r="D904" s="37">
        <v>0.7</v>
      </c>
      <c r="E904" s="37">
        <v>0.234</v>
      </c>
      <c r="F904">
        <v>0.047</v>
      </c>
      <c r="G904">
        <v>8.1408</v>
      </c>
      <c r="I904" s="38"/>
      <c r="J904" s="39"/>
      <c r="K904" s="39"/>
      <c r="L904" s="39"/>
      <c r="M904" s="39"/>
      <c r="N904" s="40"/>
      <c r="O904" s="40"/>
    </row>
    <row r="905" spans="1:15">
      <c r="A905" s="28" t="s">
        <v>1220</v>
      </c>
      <c r="B905" s="37">
        <v>0.043</v>
      </c>
      <c r="C905" s="37">
        <v>0.026</v>
      </c>
      <c r="D905" s="37">
        <v>0.612</v>
      </c>
      <c r="E905" s="37">
        <v>0.346</v>
      </c>
      <c r="F905">
        <v>0.0469</v>
      </c>
      <c r="G905">
        <v>8.1353</v>
      </c>
      <c r="I905" s="38"/>
      <c r="J905" s="39"/>
      <c r="K905" s="39"/>
      <c r="L905" s="39"/>
      <c r="M905" s="39"/>
      <c r="N905" s="40"/>
      <c r="O905" s="40"/>
    </row>
    <row r="906" spans="1:15">
      <c r="A906" s="28" t="s">
        <v>1221</v>
      </c>
      <c r="B906" s="37">
        <v>0.043</v>
      </c>
      <c r="C906" s="37">
        <v>0.027</v>
      </c>
      <c r="D906" s="37">
        <v>0.611</v>
      </c>
      <c r="E906" s="37">
        <v>0.357</v>
      </c>
      <c r="F906">
        <v>0.0467</v>
      </c>
      <c r="G906">
        <v>8.1706</v>
      </c>
      <c r="I906" s="38"/>
      <c r="J906" s="39"/>
      <c r="K906" s="39"/>
      <c r="L906" s="39"/>
      <c r="M906" s="39"/>
      <c r="N906" s="40"/>
      <c r="O906" s="40"/>
    </row>
    <row r="907" spans="1:15">
      <c r="A907" s="28" t="s">
        <v>1222</v>
      </c>
      <c r="B907" s="37">
        <v>0.044</v>
      </c>
      <c r="C907" s="37">
        <v>0.023</v>
      </c>
      <c r="D907" s="37">
        <v>0.615</v>
      </c>
      <c r="E907" s="37">
        <v>0.301</v>
      </c>
      <c r="F907">
        <v>0.0471</v>
      </c>
      <c r="G907">
        <v>8.2132</v>
      </c>
      <c r="I907" s="38"/>
      <c r="J907" s="39"/>
      <c r="K907" s="39"/>
      <c r="L907" s="39"/>
      <c r="M907" s="39"/>
      <c r="N907" s="40"/>
      <c r="O907" s="40"/>
    </row>
    <row r="908" spans="1:15">
      <c r="A908" s="28" t="s">
        <v>1223</v>
      </c>
      <c r="B908" s="37">
        <v>0.043</v>
      </c>
      <c r="C908" s="37">
        <v>0.02</v>
      </c>
      <c r="D908" s="37">
        <v>0.602</v>
      </c>
      <c r="E908" s="37">
        <v>0.26</v>
      </c>
      <c r="F908">
        <v>0.0471</v>
      </c>
      <c r="G908">
        <v>8.2408</v>
      </c>
      <c r="I908" s="38"/>
      <c r="J908" s="39"/>
      <c r="K908" s="39"/>
      <c r="L908" s="39"/>
      <c r="M908" s="39"/>
      <c r="N908" s="40"/>
      <c r="O908" s="40"/>
    </row>
    <row r="909" spans="1:15">
      <c r="A909" s="28" t="s">
        <v>1224</v>
      </c>
      <c r="B909" s="37">
        <v>0.042</v>
      </c>
      <c r="C909" s="37">
        <v>0.021</v>
      </c>
      <c r="D909" s="37">
        <v>0.584</v>
      </c>
      <c r="E909" s="37">
        <v>0.271</v>
      </c>
      <c r="F909">
        <v>0.0472</v>
      </c>
      <c r="G909">
        <v>8.3063</v>
      </c>
      <c r="I909" s="38"/>
      <c r="J909" s="39"/>
      <c r="K909" s="39"/>
      <c r="L909" s="39"/>
      <c r="M909" s="39"/>
      <c r="N909" s="40"/>
      <c r="O909" s="40"/>
    </row>
    <row r="910" spans="1:15">
      <c r="A910" s="28" t="s">
        <v>1225</v>
      </c>
      <c r="B910" s="37">
        <v>0.041</v>
      </c>
      <c r="C910" s="37">
        <v>0.02</v>
      </c>
      <c r="D910" s="37">
        <v>0.571</v>
      </c>
      <c r="E910" s="37">
        <v>0.255</v>
      </c>
      <c r="F910">
        <v>0.0474</v>
      </c>
      <c r="G910">
        <v>8.3383</v>
      </c>
      <c r="I910" s="38"/>
      <c r="J910" s="39"/>
      <c r="K910" s="39"/>
      <c r="L910" s="39"/>
      <c r="M910" s="39"/>
      <c r="N910" s="40"/>
      <c r="O910" s="40"/>
    </row>
    <row r="911" spans="1:15">
      <c r="A911" s="28" t="s">
        <v>1226</v>
      </c>
      <c r="B911" s="37">
        <v>0.043</v>
      </c>
      <c r="C911" s="37">
        <v>0.028</v>
      </c>
      <c r="D911" s="37">
        <v>0.594</v>
      </c>
      <c r="E911" s="37">
        <v>0.362</v>
      </c>
      <c r="F911">
        <v>0.0475</v>
      </c>
      <c r="G911">
        <v>8.4262</v>
      </c>
      <c r="I911" s="38"/>
      <c r="J911" s="39"/>
      <c r="K911" s="39"/>
      <c r="L911" s="39"/>
      <c r="M911" s="39"/>
      <c r="N911" s="40"/>
      <c r="O911" s="40"/>
    </row>
    <row r="912" spans="1:15">
      <c r="A912" s="28" t="s">
        <v>1227</v>
      </c>
      <c r="B912" s="37">
        <v>0.042</v>
      </c>
      <c r="C912" s="37">
        <v>0.032</v>
      </c>
      <c r="D912" s="37">
        <v>0.572</v>
      </c>
      <c r="E912" s="37">
        <v>0.409</v>
      </c>
      <c r="F912">
        <v>0.0475</v>
      </c>
      <c r="G912">
        <v>8.4902</v>
      </c>
      <c r="I912" s="38"/>
      <c r="J912" s="39"/>
      <c r="K912" s="39"/>
      <c r="L912" s="39"/>
      <c r="M912" s="39"/>
      <c r="N912" s="40"/>
      <c r="O912" s="40"/>
    </row>
    <row r="913" spans="1:15">
      <c r="A913" s="28" t="s">
        <v>1228</v>
      </c>
      <c r="B913" s="37">
        <v>0.043</v>
      </c>
      <c r="C913" s="37">
        <v>0.025</v>
      </c>
      <c r="D913" s="37">
        <v>0.584</v>
      </c>
      <c r="E913" s="37">
        <v>0.325</v>
      </c>
      <c r="F913">
        <v>0.0476</v>
      </c>
      <c r="G913">
        <v>8.5295</v>
      </c>
      <c r="I913" s="38"/>
      <c r="J913" s="39"/>
      <c r="K913" s="39"/>
      <c r="L913" s="39"/>
      <c r="M913" s="39"/>
      <c r="N913" s="40"/>
      <c r="O913" s="40"/>
    </row>
    <row r="914" spans="1:15">
      <c r="A914" s="28" t="s">
        <v>1229</v>
      </c>
      <c r="B914" s="37">
        <v>0.043</v>
      </c>
      <c r="C914" s="37">
        <v>0.025</v>
      </c>
      <c r="D914" s="37">
        <v>0.58</v>
      </c>
      <c r="E914" s="37">
        <v>0.323</v>
      </c>
      <c r="F914">
        <v>0.0478</v>
      </c>
      <c r="G914">
        <v>8.6096</v>
      </c>
      <c r="I914" s="38"/>
      <c r="J914" s="39"/>
      <c r="K914" s="39"/>
      <c r="L914" s="39"/>
      <c r="M914" s="39"/>
      <c r="N914" s="40"/>
      <c r="O914" s="40"/>
    </row>
    <row r="915" spans="1:15">
      <c r="A915" s="28" t="s">
        <v>1230</v>
      </c>
      <c r="B915" s="37">
        <v>0.043</v>
      </c>
      <c r="C915" s="37">
        <v>0.032</v>
      </c>
      <c r="D915" s="37">
        <v>0.585</v>
      </c>
      <c r="E915" s="37">
        <v>0.411</v>
      </c>
      <c r="F915">
        <v>0.0474</v>
      </c>
      <c r="G915">
        <v>8.6113</v>
      </c>
      <c r="I915" s="38"/>
      <c r="J915" s="39"/>
      <c r="K915" s="39"/>
      <c r="L915" s="39"/>
      <c r="M915" s="39"/>
      <c r="N915" s="40"/>
      <c r="O915" s="40"/>
    </row>
    <row r="916" spans="1:15">
      <c r="A916" s="28" t="s">
        <v>1231</v>
      </c>
      <c r="B916" s="37">
        <v>0.045</v>
      </c>
      <c r="C916" s="37">
        <v>0.027</v>
      </c>
      <c r="D916" s="37">
        <v>0.601</v>
      </c>
      <c r="E916" s="37">
        <v>0.343</v>
      </c>
      <c r="F916">
        <v>0.0474</v>
      </c>
      <c r="G916">
        <v>8.6487</v>
      </c>
      <c r="I916" s="38"/>
      <c r="J916" s="39"/>
      <c r="K916" s="39"/>
      <c r="L916" s="39"/>
      <c r="M916" s="39"/>
      <c r="N916" s="40"/>
      <c r="O916" s="40"/>
    </row>
    <row r="917" spans="1:15">
      <c r="A917" s="28" t="s">
        <v>1232</v>
      </c>
      <c r="B917" s="37">
        <v>0.042</v>
      </c>
      <c r="C917" s="37">
        <v>0.048</v>
      </c>
      <c r="D917" s="37">
        <v>0.565</v>
      </c>
      <c r="E917" s="37">
        <v>0.621</v>
      </c>
      <c r="F917">
        <v>0.0478</v>
      </c>
      <c r="G917">
        <v>8.6925</v>
      </c>
      <c r="I917" s="38"/>
      <c r="J917" s="39"/>
      <c r="K917" s="39"/>
      <c r="L917" s="39"/>
      <c r="M917" s="39"/>
      <c r="N917" s="40"/>
      <c r="O917" s="40"/>
    </row>
    <row r="918" spans="1:15">
      <c r="A918" s="28" t="s">
        <v>1233</v>
      </c>
      <c r="B918" s="37">
        <v>0.044</v>
      </c>
      <c r="C918" s="37">
        <v>0.047</v>
      </c>
      <c r="D918" s="37">
        <v>0.587</v>
      </c>
      <c r="E918" s="37">
        <v>0.602</v>
      </c>
      <c r="F918">
        <v>0.0475</v>
      </c>
      <c r="G918">
        <v>8.7041</v>
      </c>
      <c r="I918" s="38"/>
      <c r="J918" s="39"/>
      <c r="K918" s="39"/>
      <c r="L918" s="39"/>
      <c r="M918" s="39"/>
      <c r="N918" s="40"/>
      <c r="O918" s="40"/>
    </row>
    <row r="919" spans="1:15">
      <c r="A919" s="28" t="s">
        <v>1234</v>
      </c>
      <c r="B919" s="37">
        <v>0.044</v>
      </c>
      <c r="C919" s="37">
        <v>0.045</v>
      </c>
      <c r="D919" s="37">
        <v>0.586</v>
      </c>
      <c r="E919" s="37">
        <v>0.578</v>
      </c>
      <c r="F919">
        <v>0.0476</v>
      </c>
      <c r="G919">
        <v>8.7844</v>
      </c>
      <c r="I919" s="38"/>
      <c r="J919" s="39"/>
      <c r="K919" s="39"/>
      <c r="L919" s="39"/>
      <c r="M919" s="39"/>
      <c r="N919" s="40"/>
      <c r="O919" s="40"/>
    </row>
    <row r="920" spans="1:15">
      <c r="A920" s="28" t="s">
        <v>1235</v>
      </c>
      <c r="B920" s="37">
        <v>0.046</v>
      </c>
      <c r="C920" s="37">
        <v>0.043</v>
      </c>
      <c r="D920" s="37">
        <v>0.604</v>
      </c>
      <c r="E920" s="37">
        <v>0.542</v>
      </c>
      <c r="F920">
        <v>0.0476</v>
      </c>
      <c r="G920">
        <v>8.8643</v>
      </c>
      <c r="I920" s="38"/>
      <c r="J920" s="39"/>
      <c r="K920" s="39"/>
      <c r="L920" s="39"/>
      <c r="M920" s="39"/>
      <c r="N920" s="40"/>
      <c r="O920" s="40"/>
    </row>
    <row r="921" spans="1:15">
      <c r="A921" s="28" t="s">
        <v>1236</v>
      </c>
      <c r="B921" s="37">
        <v>0.043</v>
      </c>
      <c r="C921" s="37">
        <v>0.045</v>
      </c>
      <c r="D921" s="37">
        <v>0.558</v>
      </c>
      <c r="E921" s="37">
        <v>0.564</v>
      </c>
      <c r="F921">
        <v>0.0476</v>
      </c>
      <c r="G921">
        <v>8.8889</v>
      </c>
      <c r="I921" s="38"/>
      <c r="J921" s="39"/>
      <c r="K921" s="39"/>
      <c r="L921" s="39"/>
      <c r="M921" s="39"/>
      <c r="N921" s="40"/>
      <c r="O921" s="40"/>
    </row>
    <row r="922" spans="1:15">
      <c r="A922" s="28" t="s">
        <v>1237</v>
      </c>
      <c r="B922" s="37">
        <v>0.044</v>
      </c>
      <c r="C922" s="37">
        <v>0.038</v>
      </c>
      <c r="D922" s="37">
        <v>0.574</v>
      </c>
      <c r="E922" s="37">
        <v>0.473</v>
      </c>
      <c r="F922">
        <v>0.0475</v>
      </c>
      <c r="G922">
        <v>8.9872</v>
      </c>
      <c r="I922" s="38"/>
      <c r="J922" s="39"/>
      <c r="K922" s="39"/>
      <c r="L922" s="39"/>
      <c r="M922" s="39"/>
      <c r="N922" s="40"/>
      <c r="O922" s="40"/>
    </row>
    <row r="923" spans="1:15">
      <c r="A923" s="28" t="s">
        <v>1238</v>
      </c>
      <c r="B923" s="37">
        <v>0.045</v>
      </c>
      <c r="C923" s="37">
        <v>0.034</v>
      </c>
      <c r="D923" s="37">
        <v>0.585</v>
      </c>
      <c r="E923" s="37">
        <v>0.414</v>
      </c>
      <c r="F923">
        <v>0.0478</v>
      </c>
      <c r="G923">
        <v>9.0072</v>
      </c>
      <c r="I923" s="38"/>
      <c r="J923" s="39"/>
      <c r="K923" s="39"/>
      <c r="L923" s="39"/>
      <c r="M923" s="39"/>
      <c r="N923" s="40"/>
      <c r="O923" s="40"/>
    </row>
    <row r="924" spans="1:15">
      <c r="A924" s="28" t="s">
        <v>1239</v>
      </c>
      <c r="B924" s="37">
        <v>0.043</v>
      </c>
      <c r="C924" s="37">
        <v>0.036</v>
      </c>
      <c r="D924" s="37">
        <v>0.561</v>
      </c>
      <c r="E924" s="37">
        <v>0.434</v>
      </c>
      <c r="F924">
        <v>0.0479</v>
      </c>
      <c r="G924">
        <v>9.121</v>
      </c>
      <c r="I924" s="38"/>
      <c r="J924" s="39"/>
      <c r="K924" s="39"/>
      <c r="L924" s="39"/>
      <c r="M924" s="39"/>
      <c r="N924" s="40"/>
      <c r="O924" s="40"/>
    </row>
    <row r="925" spans="1:15">
      <c r="A925" s="28" t="s">
        <v>1240</v>
      </c>
      <c r="B925" s="37">
        <v>0.043</v>
      </c>
      <c r="C925" s="37">
        <v>0.04</v>
      </c>
      <c r="D925" s="37">
        <v>0.558</v>
      </c>
      <c r="E925" s="37">
        <v>0.494</v>
      </c>
      <c r="F925">
        <v>0.0481</v>
      </c>
      <c r="G925">
        <v>9.0862</v>
      </c>
      <c r="I925" s="38"/>
      <c r="J925" s="39"/>
      <c r="K925" s="39"/>
      <c r="L925" s="39"/>
      <c r="M925" s="39"/>
      <c r="N925" s="40"/>
      <c r="O925" s="40"/>
    </row>
    <row r="926" spans="1:15">
      <c r="A926" s="28" t="s">
        <v>1241</v>
      </c>
      <c r="B926" s="37">
        <v>0.043</v>
      </c>
      <c r="C926" s="37">
        <v>0.042</v>
      </c>
      <c r="D926" s="37">
        <v>0.544</v>
      </c>
      <c r="E926" s="37">
        <v>0.515</v>
      </c>
      <c r="F926">
        <v>0.0484</v>
      </c>
      <c r="G926">
        <v>9.1111</v>
      </c>
      <c r="I926" s="38"/>
      <c r="J926" s="39"/>
      <c r="K926" s="39"/>
      <c r="L926" s="39"/>
      <c r="M926" s="39"/>
      <c r="N926" s="40"/>
      <c r="O926" s="40"/>
    </row>
    <row r="927" spans="1:15">
      <c r="A927" s="28" t="s">
        <v>1242</v>
      </c>
      <c r="B927" s="37">
        <v>0.042</v>
      </c>
      <c r="C927" s="37">
        <v>0.042</v>
      </c>
      <c r="D927" s="37">
        <v>0.54</v>
      </c>
      <c r="E927" s="37">
        <v>0.515</v>
      </c>
      <c r="F927">
        <v>0.0485</v>
      </c>
      <c r="G927">
        <v>9.217</v>
      </c>
      <c r="I927" s="38"/>
      <c r="J927" s="39"/>
      <c r="K927" s="39"/>
      <c r="L927" s="39"/>
      <c r="M927" s="39"/>
      <c r="N927" s="40"/>
      <c r="O927" s="40"/>
    </row>
    <row r="928" spans="1:15">
      <c r="A928" s="28" t="s">
        <v>1243</v>
      </c>
      <c r="B928" s="37">
        <v>0.041</v>
      </c>
      <c r="C928" s="37">
        <v>0.055</v>
      </c>
      <c r="D928" s="37">
        <v>0.517</v>
      </c>
      <c r="E928" s="37">
        <v>0.67</v>
      </c>
      <c r="F928">
        <v>0.0489</v>
      </c>
      <c r="G928">
        <v>9.3744</v>
      </c>
      <c r="I928" s="38"/>
      <c r="J928" s="39"/>
      <c r="K928" s="39"/>
      <c r="L928" s="39"/>
      <c r="M928" s="39"/>
      <c r="N928" s="40"/>
      <c r="O928" s="40"/>
    </row>
    <row r="929" spans="1:15">
      <c r="A929" s="28" t="s">
        <v>1244</v>
      </c>
      <c r="B929" s="37">
        <v>0.043</v>
      </c>
      <c r="C929" s="37">
        <v>0.05</v>
      </c>
      <c r="D929" s="37">
        <v>0.538</v>
      </c>
      <c r="E929" s="37">
        <v>0.597</v>
      </c>
      <c r="F929">
        <v>0.049</v>
      </c>
      <c r="G929">
        <v>9.4481</v>
      </c>
      <c r="I929" s="38"/>
      <c r="J929" s="39"/>
      <c r="K929" s="39"/>
      <c r="L929" s="39"/>
      <c r="M929" s="39"/>
      <c r="N929" s="40"/>
      <c r="O929" s="40"/>
    </row>
    <row r="930" spans="1:15">
      <c r="A930" s="28" t="s">
        <v>1245</v>
      </c>
      <c r="B930" s="37">
        <v>0.043</v>
      </c>
      <c r="C930" s="37">
        <v>0.051</v>
      </c>
      <c r="D930" s="37">
        <v>0.536</v>
      </c>
      <c r="E930" s="37">
        <v>0.607</v>
      </c>
      <c r="F930">
        <v>0.0493</v>
      </c>
      <c r="G930">
        <v>9.4678</v>
      </c>
      <c r="I930" s="38"/>
      <c r="J930" s="39"/>
      <c r="K930" s="39"/>
      <c r="L930" s="39"/>
      <c r="M930" s="39"/>
      <c r="N930" s="40"/>
      <c r="O930" s="40"/>
    </row>
    <row r="931" spans="1:15">
      <c r="A931" s="28" t="s">
        <v>1246</v>
      </c>
      <c r="B931" s="37">
        <v>0.042</v>
      </c>
      <c r="C931" s="37">
        <v>0.048</v>
      </c>
      <c r="D931" s="37">
        <v>0.527</v>
      </c>
      <c r="E931" s="37">
        <v>0.571</v>
      </c>
      <c r="F931">
        <v>0.0496</v>
      </c>
      <c r="G931">
        <v>9.5461</v>
      </c>
      <c r="I931" s="38"/>
      <c r="J931" s="39"/>
      <c r="K931" s="39"/>
      <c r="L931" s="39"/>
      <c r="M931" s="39"/>
      <c r="N931" s="40"/>
      <c r="O931" s="40"/>
    </row>
    <row r="932" spans="1:15">
      <c r="A932" s="28" t="s">
        <v>1247</v>
      </c>
      <c r="B932" s="37">
        <v>0.04</v>
      </c>
      <c r="C932" s="37">
        <v>0.051</v>
      </c>
      <c r="D932" s="37">
        <v>0.496</v>
      </c>
      <c r="E932" s="37">
        <v>0.609</v>
      </c>
      <c r="F932">
        <v>0.0499</v>
      </c>
      <c r="G932">
        <v>9.5902</v>
      </c>
      <c r="I932" s="38"/>
      <c r="J932" s="39"/>
      <c r="K932" s="39"/>
      <c r="L932" s="39"/>
      <c r="M932" s="39"/>
      <c r="N932" s="40"/>
      <c r="O932" s="40"/>
    </row>
    <row r="933" spans="1:15">
      <c r="A933" s="28" t="s">
        <v>1248</v>
      </c>
      <c r="B933" s="37">
        <v>0.039</v>
      </c>
      <c r="C933" s="37">
        <v>0.059</v>
      </c>
      <c r="D933" s="37">
        <v>0.48</v>
      </c>
      <c r="E933" s="37">
        <v>0.692</v>
      </c>
      <c r="F933">
        <v>0.0503</v>
      </c>
      <c r="G933">
        <v>9.6418</v>
      </c>
      <c r="I933" s="38"/>
      <c r="J933" s="39"/>
      <c r="K933" s="39"/>
      <c r="L933" s="39"/>
      <c r="M933" s="39"/>
      <c r="N933" s="40"/>
      <c r="O933" s="40"/>
    </row>
    <row r="934" spans="1:15">
      <c r="A934" s="28" t="s">
        <v>1249</v>
      </c>
      <c r="B934" s="37">
        <v>0.041</v>
      </c>
      <c r="C934" s="37">
        <v>0.056</v>
      </c>
      <c r="D934" s="37">
        <v>0.497</v>
      </c>
      <c r="E934" s="37">
        <v>0.651</v>
      </c>
      <c r="F934">
        <v>0.0508</v>
      </c>
      <c r="G934">
        <v>9.7716</v>
      </c>
      <c r="I934" s="38"/>
      <c r="J934" s="39"/>
      <c r="K934" s="39"/>
      <c r="L934" s="39"/>
      <c r="M934" s="39"/>
      <c r="N934" s="40"/>
      <c r="O934" s="40"/>
    </row>
    <row r="935" spans="1:15">
      <c r="A935" s="28" t="s">
        <v>1250</v>
      </c>
      <c r="B935" s="37">
        <v>0.038</v>
      </c>
      <c r="C935" s="37">
        <v>0.044</v>
      </c>
      <c r="D935" s="37">
        <v>0.457</v>
      </c>
      <c r="E935" s="37">
        <v>0.517</v>
      </c>
      <c r="F935">
        <v>0.0509</v>
      </c>
      <c r="G935">
        <v>9.8082</v>
      </c>
      <c r="I935" s="38"/>
      <c r="J935" s="39"/>
      <c r="K935" s="39"/>
      <c r="L935" s="39"/>
      <c r="M935" s="39"/>
      <c r="N935" s="40"/>
      <c r="O935" s="40"/>
    </row>
    <row r="936" spans="1:15">
      <c r="A936" s="28" t="s">
        <v>1251</v>
      </c>
      <c r="B936" s="37">
        <v>0.038</v>
      </c>
      <c r="C936" s="37">
        <v>0.042</v>
      </c>
      <c r="D936" s="37">
        <v>0.457</v>
      </c>
      <c r="E936" s="37">
        <v>0.489</v>
      </c>
      <c r="F936">
        <v>0.0509</v>
      </c>
      <c r="G936">
        <v>9.856</v>
      </c>
      <c r="I936" s="38"/>
      <c r="J936" s="39"/>
      <c r="K936" s="39"/>
      <c r="L936" s="39"/>
      <c r="M936" s="39"/>
      <c r="N936" s="40"/>
      <c r="O936" s="40"/>
    </row>
    <row r="937" spans="1:15">
      <c r="A937" s="28" t="s">
        <v>1252</v>
      </c>
      <c r="B937" s="37">
        <v>0.038</v>
      </c>
      <c r="C937" s="37">
        <v>0.042</v>
      </c>
      <c r="D937" s="37">
        <v>0.46</v>
      </c>
      <c r="E937" s="37">
        <v>0.487</v>
      </c>
      <c r="F937">
        <v>0.0511</v>
      </c>
      <c r="G937">
        <v>9.9189</v>
      </c>
      <c r="I937" s="38"/>
      <c r="J937" s="39"/>
      <c r="K937" s="39"/>
      <c r="L937" s="39"/>
      <c r="M937" s="39"/>
      <c r="N937" s="40"/>
      <c r="O937" s="40"/>
    </row>
    <row r="938" spans="1:15">
      <c r="A938" s="28" t="s">
        <v>1253</v>
      </c>
      <c r="B938" s="37">
        <v>0.041</v>
      </c>
      <c r="C938" s="37">
        <v>0.05</v>
      </c>
      <c r="D938" s="37">
        <v>0.494</v>
      </c>
      <c r="E938" s="37">
        <v>0.567</v>
      </c>
      <c r="F938">
        <v>0.0513</v>
      </c>
      <c r="G938">
        <v>10.0036</v>
      </c>
      <c r="I938" s="38"/>
      <c r="J938" s="39"/>
      <c r="K938" s="39"/>
      <c r="L938" s="39"/>
      <c r="M938" s="39"/>
      <c r="N938" s="40"/>
      <c r="O938" s="40"/>
    </row>
    <row r="939" spans="1:15">
      <c r="A939" s="28" t="s">
        <v>1254</v>
      </c>
      <c r="B939" s="37">
        <v>0.044</v>
      </c>
      <c r="C939" s="37">
        <v>0.042</v>
      </c>
      <c r="D939" s="37">
        <v>0.526</v>
      </c>
      <c r="E939" s="37">
        <v>0.484</v>
      </c>
      <c r="F939">
        <v>0.0518</v>
      </c>
      <c r="G939">
        <v>10.0685</v>
      </c>
      <c r="I939" s="38"/>
      <c r="J939" s="39"/>
      <c r="K939" s="39"/>
      <c r="L939" s="39"/>
      <c r="M939" s="39"/>
      <c r="N939" s="40"/>
      <c r="O939" s="40"/>
    </row>
    <row r="940" spans="1:15">
      <c r="A940" s="28" t="s">
        <v>1255</v>
      </c>
      <c r="B940" s="37">
        <v>0.043</v>
      </c>
      <c r="C940" s="37">
        <v>0.039</v>
      </c>
      <c r="D940" s="37">
        <v>0.501</v>
      </c>
      <c r="E940" s="37">
        <v>0.444</v>
      </c>
      <c r="F940">
        <v>0.0521</v>
      </c>
      <c r="G940">
        <v>10.1036</v>
      </c>
      <c r="I940" s="38"/>
      <c r="J940" s="39"/>
      <c r="K940" s="39"/>
      <c r="L940" s="39"/>
      <c r="M940" s="39"/>
      <c r="N940" s="40"/>
      <c r="O940" s="40"/>
    </row>
    <row r="941" spans="1:15">
      <c r="A941" s="28" t="s">
        <v>1256</v>
      </c>
      <c r="B941" s="37">
        <v>0.043</v>
      </c>
      <c r="C941" s="37">
        <v>0.04</v>
      </c>
      <c r="D941" s="37">
        <v>0.499</v>
      </c>
      <c r="E941" s="37">
        <v>0.454</v>
      </c>
      <c r="F941">
        <v>0.0523</v>
      </c>
      <c r="G941">
        <v>10.1818</v>
      </c>
      <c r="I941" s="38"/>
      <c r="J941" s="39"/>
      <c r="K941" s="39"/>
      <c r="L941" s="39"/>
      <c r="M941" s="39"/>
      <c r="N941" s="40"/>
      <c r="O941" s="40"/>
    </row>
    <row r="942" spans="1:15">
      <c r="A942" s="28" t="s">
        <v>1257</v>
      </c>
      <c r="B942" s="37">
        <v>0.044</v>
      </c>
      <c r="C942" s="37">
        <v>0.04</v>
      </c>
      <c r="D942" s="37">
        <v>0.508</v>
      </c>
      <c r="E942" s="37">
        <v>0.45</v>
      </c>
      <c r="F942">
        <v>0.0528</v>
      </c>
      <c r="G942">
        <v>10.2933</v>
      </c>
      <c r="I942" s="38"/>
      <c r="J942" s="39"/>
      <c r="K942" s="39"/>
      <c r="L942" s="39"/>
      <c r="M942" s="39"/>
      <c r="N942" s="40"/>
      <c r="O942" s="40"/>
    </row>
    <row r="943" spans="1:15">
      <c r="A943" s="28" t="s">
        <v>1258</v>
      </c>
      <c r="B943" s="37">
        <v>0.045</v>
      </c>
      <c r="C943" s="37">
        <v>0.052</v>
      </c>
      <c r="D943" s="37">
        <v>0.521</v>
      </c>
      <c r="E943" s="37">
        <v>0.575</v>
      </c>
      <c r="F943">
        <v>0.0531</v>
      </c>
      <c r="G943">
        <v>10.3764</v>
      </c>
      <c r="I943" s="38"/>
      <c r="J943" s="39"/>
      <c r="K943" s="39"/>
      <c r="L943" s="39"/>
      <c r="M943" s="39"/>
      <c r="N943" s="40"/>
      <c r="O943" s="40"/>
    </row>
    <row r="944" spans="1:15">
      <c r="A944" s="28" t="s">
        <v>1259</v>
      </c>
      <c r="B944" s="37">
        <v>0.047</v>
      </c>
      <c r="C944" s="37">
        <v>0.039</v>
      </c>
      <c r="D944" s="37">
        <v>0.54</v>
      </c>
      <c r="E944" s="37">
        <v>0.427</v>
      </c>
      <c r="F944">
        <v>0.0532</v>
      </c>
      <c r="G944">
        <v>10.4556</v>
      </c>
      <c r="I944" s="38"/>
      <c r="J944" s="39"/>
      <c r="K944" s="39"/>
      <c r="L944" s="39"/>
      <c r="M944" s="39"/>
      <c r="N944" s="40"/>
      <c r="O944" s="40"/>
    </row>
    <row r="945" spans="1:15">
      <c r="A945" s="28" t="s">
        <v>1260</v>
      </c>
      <c r="B945" s="37">
        <v>0.048</v>
      </c>
      <c r="C945" s="37">
        <v>0.039</v>
      </c>
      <c r="D945" s="37">
        <v>0.543</v>
      </c>
      <c r="E945" s="37">
        <v>0.425</v>
      </c>
      <c r="F945">
        <v>0.0537</v>
      </c>
      <c r="G945">
        <v>10.6065</v>
      </c>
      <c r="I945" s="38"/>
      <c r="J945" s="39"/>
      <c r="K945" s="39"/>
      <c r="L945" s="39"/>
      <c r="M945" s="39"/>
      <c r="N945" s="40"/>
      <c r="O945" s="40"/>
    </row>
    <row r="946" spans="1:15">
      <c r="A946" s="28" t="s">
        <v>1261</v>
      </c>
      <c r="B946" s="37">
        <v>0.049</v>
      </c>
      <c r="C946" s="37">
        <v>0.048</v>
      </c>
      <c r="D946" s="37">
        <v>0.557</v>
      </c>
      <c r="E946" s="37">
        <v>0.523</v>
      </c>
      <c r="F946">
        <v>0.0534</v>
      </c>
      <c r="G946">
        <v>10.6737</v>
      </c>
      <c r="I946" s="38"/>
      <c r="J946" s="39"/>
      <c r="K946" s="39"/>
      <c r="L946" s="39"/>
      <c r="M946" s="39"/>
      <c r="N946" s="40"/>
      <c r="O946" s="40"/>
    </row>
    <row r="947" spans="1:15">
      <c r="A947" s="28" t="s">
        <v>1262</v>
      </c>
      <c r="B947" s="37">
        <v>0.049</v>
      </c>
      <c r="C947" s="37">
        <v>0.048</v>
      </c>
      <c r="D947" s="37">
        <v>0.547</v>
      </c>
      <c r="E947" s="37">
        <v>0.521</v>
      </c>
      <c r="F947">
        <v>0.0538</v>
      </c>
      <c r="G947">
        <v>10.6978</v>
      </c>
      <c r="I947" s="38"/>
      <c r="J947" s="39"/>
      <c r="K947" s="39"/>
      <c r="L947" s="39"/>
      <c r="M947" s="39"/>
      <c r="N947" s="40"/>
      <c r="O947" s="40"/>
    </row>
    <row r="948" spans="1:15">
      <c r="A948" s="28" t="s">
        <v>1263</v>
      </c>
      <c r="B948" s="37">
        <v>0.047</v>
      </c>
      <c r="C948" s="37">
        <v>0.053</v>
      </c>
      <c r="D948" s="37">
        <v>0.523</v>
      </c>
      <c r="E948" s="37">
        <v>0.58</v>
      </c>
      <c r="F948">
        <v>0.0539</v>
      </c>
      <c r="G948">
        <v>10.7475</v>
      </c>
      <c r="I948" s="38"/>
      <c r="J948" s="39"/>
      <c r="K948" s="39"/>
      <c r="L948" s="39"/>
      <c r="M948" s="39"/>
      <c r="N948" s="40"/>
      <c r="O948" s="40"/>
    </row>
    <row r="949" spans="1:15">
      <c r="A949" s="28" t="s">
        <v>1264</v>
      </c>
      <c r="B949" s="37">
        <v>0.048</v>
      </c>
      <c r="C949" s="37">
        <v>0.051</v>
      </c>
      <c r="D949" s="37">
        <v>0.531</v>
      </c>
      <c r="E949" s="37">
        <v>0.558</v>
      </c>
      <c r="F949">
        <v>0.0539</v>
      </c>
      <c r="G949">
        <v>10.8086</v>
      </c>
      <c r="I949" s="38"/>
      <c r="J949" s="39"/>
      <c r="K949" s="39"/>
      <c r="L949" s="39"/>
      <c r="M949" s="39"/>
      <c r="N949" s="40"/>
      <c r="O949" s="40"/>
    </row>
    <row r="950" spans="1:15">
      <c r="A950" s="28" t="s">
        <v>1265</v>
      </c>
      <c r="B950" s="37">
        <v>0.049</v>
      </c>
      <c r="C950" s="37">
        <v>0.049</v>
      </c>
      <c r="D950" s="37">
        <v>0.544</v>
      </c>
      <c r="E950" s="37">
        <v>0.536</v>
      </c>
      <c r="F950">
        <v>0.0543</v>
      </c>
      <c r="G950">
        <v>10.8892</v>
      </c>
      <c r="I950" s="38"/>
      <c r="J950" s="39"/>
      <c r="K950" s="39"/>
      <c r="L950" s="39"/>
      <c r="M950" s="39"/>
      <c r="N950" s="40"/>
      <c r="O950" s="40"/>
    </row>
    <row r="951" spans="1:15">
      <c r="A951" s="28" t="s">
        <v>1266</v>
      </c>
      <c r="B951" s="37">
        <v>0.049</v>
      </c>
      <c r="C951" s="37">
        <v>0.049</v>
      </c>
      <c r="D951" s="37">
        <v>0.539</v>
      </c>
      <c r="E951" s="37">
        <v>0.528</v>
      </c>
      <c r="F951">
        <v>0.0542</v>
      </c>
      <c r="G951">
        <v>10.9961</v>
      </c>
      <c r="I951" s="38"/>
      <c r="J951" s="39"/>
      <c r="K951" s="39"/>
      <c r="L951" s="39"/>
      <c r="M951" s="39"/>
      <c r="N951" s="40"/>
      <c r="O951" s="40"/>
    </row>
    <row r="952" spans="1:15">
      <c r="A952" s="28" t="s">
        <v>1267</v>
      </c>
      <c r="B952" s="37">
        <v>0.05</v>
      </c>
      <c r="C952" s="37">
        <v>0.068</v>
      </c>
      <c r="D952" s="37">
        <v>0.539</v>
      </c>
      <c r="E952" s="37">
        <v>0.725</v>
      </c>
      <c r="F952">
        <v>0.0543</v>
      </c>
      <c r="G952">
        <v>11.1252</v>
      </c>
      <c r="I952" s="38"/>
      <c r="J952" s="39"/>
      <c r="K952" s="39"/>
      <c r="L952" s="39"/>
      <c r="M952" s="39"/>
      <c r="N952" s="40"/>
      <c r="O952" s="40"/>
    </row>
    <row r="953" spans="1:15">
      <c r="A953" s="28" t="s">
        <v>1268</v>
      </c>
      <c r="B953" s="37">
        <v>0.049</v>
      </c>
      <c r="C953" s="37">
        <v>0.058</v>
      </c>
      <c r="D953" s="37">
        <v>0.533</v>
      </c>
      <c r="E953" s="37">
        <v>0.61</v>
      </c>
      <c r="F953">
        <v>0.0548</v>
      </c>
      <c r="G953">
        <v>11.2484</v>
      </c>
      <c r="I953" s="38"/>
      <c r="J953" s="39"/>
      <c r="K953" s="39"/>
      <c r="L953" s="39"/>
      <c r="M953" s="39"/>
      <c r="N953" s="40"/>
      <c r="O953" s="40"/>
    </row>
    <row r="954" spans="1:15">
      <c r="A954" s="28" t="s">
        <v>1269</v>
      </c>
      <c r="B954" s="37">
        <v>0.051</v>
      </c>
      <c r="C954" s="37">
        <v>0.047</v>
      </c>
      <c r="D954" s="37">
        <v>0.549</v>
      </c>
      <c r="E954" s="37">
        <v>0.495</v>
      </c>
      <c r="F954">
        <v>0.055</v>
      </c>
      <c r="G954">
        <v>11.3352</v>
      </c>
      <c r="I954" s="38"/>
      <c r="J954" s="39"/>
      <c r="K954" s="39"/>
      <c r="L954" s="39"/>
      <c r="M954" s="39"/>
      <c r="N954" s="40"/>
      <c r="O954" s="40"/>
    </row>
    <row r="955" spans="1:15">
      <c r="A955" s="28" t="s">
        <v>1270</v>
      </c>
      <c r="B955" s="37">
        <v>0.051</v>
      </c>
      <c r="C955" s="37">
        <v>0.051</v>
      </c>
      <c r="D955" s="37">
        <v>0.54</v>
      </c>
      <c r="E955" s="37">
        <v>0.533</v>
      </c>
      <c r="F955">
        <v>0.0553</v>
      </c>
      <c r="G955">
        <v>11.514</v>
      </c>
      <c r="I955" s="38"/>
      <c r="J955" s="39"/>
      <c r="K955" s="39"/>
      <c r="L955" s="39"/>
      <c r="M955" s="39"/>
      <c r="N955" s="40"/>
      <c r="O955" s="40"/>
    </row>
    <row r="956" spans="1:15">
      <c r="A956" s="28" t="s">
        <v>1271</v>
      </c>
      <c r="B956" s="37">
        <v>0.051</v>
      </c>
      <c r="C956" s="37">
        <v>0.037</v>
      </c>
      <c r="D956" s="37">
        <v>0.543</v>
      </c>
      <c r="E956" s="37">
        <v>0.389</v>
      </c>
      <c r="F956">
        <v>0.0553</v>
      </c>
      <c r="G956">
        <v>11.6035</v>
      </c>
      <c r="I956" s="38"/>
      <c r="J956" s="39"/>
      <c r="K956" s="39"/>
      <c r="L956" s="39"/>
      <c r="M956" s="39"/>
      <c r="N956" s="40"/>
      <c r="O956" s="40"/>
    </row>
    <row r="957" spans="1:15">
      <c r="A957" s="28" t="s">
        <v>1272</v>
      </c>
      <c r="B957" s="37">
        <v>0.05</v>
      </c>
      <c r="C957" s="37">
        <v>0.047</v>
      </c>
      <c r="D957" s="37">
        <v>0.524</v>
      </c>
      <c r="E957" s="37">
        <v>0.487</v>
      </c>
      <c r="F957">
        <v>0.0555</v>
      </c>
      <c r="G957">
        <v>11.6944</v>
      </c>
      <c r="I957" s="38"/>
      <c r="J957" s="39"/>
      <c r="K957" s="39"/>
      <c r="L957" s="39"/>
      <c r="M957" s="39"/>
      <c r="N957" s="40"/>
      <c r="O957" s="40"/>
    </row>
    <row r="958" spans="1:15">
      <c r="A958" s="28" t="s">
        <v>1273</v>
      </c>
      <c r="B958" s="37">
        <v>0.051</v>
      </c>
      <c r="C958" s="37">
        <v>0.047</v>
      </c>
      <c r="D958" s="37">
        <v>0.53</v>
      </c>
      <c r="E958" s="37">
        <v>0.483</v>
      </c>
      <c r="F958">
        <v>0.0555</v>
      </c>
      <c r="G958">
        <v>11.8205</v>
      </c>
      <c r="I958" s="38"/>
      <c r="J958" s="39"/>
      <c r="K958" s="39"/>
      <c r="L958" s="39"/>
      <c r="M958" s="39"/>
      <c r="N958" s="40"/>
      <c r="O958" s="40"/>
    </row>
    <row r="959" spans="1:15">
      <c r="A959" s="28" t="s">
        <v>1274</v>
      </c>
      <c r="B959" s="37">
        <v>0.051</v>
      </c>
      <c r="C959" s="37">
        <v>0.054</v>
      </c>
      <c r="D959" s="37">
        <v>0.528</v>
      </c>
      <c r="E959" s="37">
        <v>0.546</v>
      </c>
      <c r="F959">
        <v>0.0557</v>
      </c>
      <c r="G959">
        <v>11.9234</v>
      </c>
      <c r="I959" s="38"/>
      <c r="J959" s="39"/>
      <c r="K959" s="39"/>
      <c r="L959" s="39"/>
      <c r="M959" s="39"/>
      <c r="N959" s="40"/>
      <c r="O959" s="40"/>
    </row>
    <row r="960" spans="1:15">
      <c r="A960" s="28" t="s">
        <v>1275</v>
      </c>
      <c r="B960" s="37">
        <v>0.05</v>
      </c>
      <c r="C960" s="37">
        <v>0.058</v>
      </c>
      <c r="D960" s="37">
        <v>0.513</v>
      </c>
      <c r="E960" s="37">
        <v>0.582</v>
      </c>
      <c r="F960">
        <v>0.0558</v>
      </c>
      <c r="G960">
        <v>11.9607</v>
      </c>
      <c r="I960" s="38"/>
      <c r="J960" s="39"/>
      <c r="K960" s="39"/>
      <c r="L960" s="39"/>
      <c r="M960" s="39"/>
      <c r="N960" s="40"/>
      <c r="O960" s="40"/>
    </row>
    <row r="961" spans="1:15">
      <c r="A961" s="28" t="s">
        <v>1276</v>
      </c>
      <c r="B961" s="37">
        <v>0.048</v>
      </c>
      <c r="C961" s="37">
        <v>0.05</v>
      </c>
      <c r="D961" s="37">
        <v>0.488</v>
      </c>
      <c r="E961" s="37">
        <v>0.497</v>
      </c>
      <c r="F961">
        <v>0.0559</v>
      </c>
      <c r="G961">
        <v>12.0141</v>
      </c>
      <c r="I961" s="38"/>
      <c r="J961" s="39"/>
      <c r="K961" s="39"/>
      <c r="L961" s="39"/>
      <c r="M961" s="39"/>
      <c r="N961" s="40"/>
      <c r="O961" s="40"/>
    </row>
    <row r="962" spans="1:15">
      <c r="A962" s="28" t="s">
        <v>1277</v>
      </c>
      <c r="B962" s="37">
        <v>0.048</v>
      </c>
      <c r="C962" s="37">
        <v>0.04</v>
      </c>
      <c r="D962" s="37">
        <v>0.482</v>
      </c>
      <c r="E962" s="37">
        <v>0.393</v>
      </c>
      <c r="F962">
        <v>0.056</v>
      </c>
      <c r="G962">
        <v>12.0768</v>
      </c>
      <c r="I962" s="38"/>
      <c r="J962" s="39"/>
      <c r="K962" s="39"/>
      <c r="L962" s="39"/>
      <c r="M962" s="39"/>
      <c r="N962" s="40"/>
      <c r="O962" s="40"/>
    </row>
    <row r="963" spans="1:15">
      <c r="A963" s="28" t="s">
        <v>1278</v>
      </c>
      <c r="B963" s="37">
        <v>0.048</v>
      </c>
      <c r="C963" s="37">
        <v>0.034</v>
      </c>
      <c r="D963" s="37">
        <v>0.481</v>
      </c>
      <c r="E963" s="37">
        <v>0.336</v>
      </c>
      <c r="F963">
        <v>0.0567</v>
      </c>
      <c r="G963">
        <v>12.1572</v>
      </c>
      <c r="I963" s="38"/>
      <c r="J963" s="39"/>
      <c r="K963" s="39"/>
      <c r="L963" s="39"/>
      <c r="M963" s="39"/>
      <c r="N963" s="40"/>
      <c r="O963" s="40"/>
    </row>
    <row r="964" spans="1:15">
      <c r="A964" s="28" t="s">
        <v>1279</v>
      </c>
      <c r="B964" s="37">
        <v>0.048</v>
      </c>
      <c r="C964" s="37">
        <v>0.034</v>
      </c>
      <c r="D964" s="37">
        <v>0.478</v>
      </c>
      <c r="E964" s="37">
        <v>0.331</v>
      </c>
      <c r="F964">
        <v>0.0571</v>
      </c>
      <c r="G964">
        <v>12.2425</v>
      </c>
      <c r="I964" s="38"/>
      <c r="J964" s="39"/>
      <c r="K964" s="39"/>
      <c r="L964" s="39"/>
      <c r="M964" s="39"/>
      <c r="N964" s="40"/>
      <c r="O964" s="40"/>
    </row>
    <row r="965" spans="1:15">
      <c r="A965" s="28" t="s">
        <v>1280</v>
      </c>
      <c r="B965" s="37">
        <v>0.05</v>
      </c>
      <c r="C965" s="37">
        <v>0.034</v>
      </c>
      <c r="D965" s="37">
        <v>0.49</v>
      </c>
      <c r="E965" s="37">
        <v>0.329</v>
      </c>
      <c r="F965">
        <v>0.0574</v>
      </c>
      <c r="G965">
        <v>12.3333</v>
      </c>
      <c r="I965" s="38"/>
      <c r="J965" s="39"/>
      <c r="K965" s="39"/>
      <c r="L965" s="39"/>
      <c r="M965" s="39"/>
      <c r="N965" s="40"/>
      <c r="O965" s="40"/>
    </row>
    <row r="966" spans="1:15">
      <c r="A966" s="28" t="s">
        <v>1281</v>
      </c>
      <c r="B966" s="37">
        <v>0.051</v>
      </c>
      <c r="C966" s="37">
        <v>0.033</v>
      </c>
      <c r="D966" s="37">
        <v>0.491</v>
      </c>
      <c r="E966" s="37">
        <v>0.31</v>
      </c>
      <c r="F966">
        <v>0.0578</v>
      </c>
      <c r="G966">
        <v>12.3947</v>
      </c>
      <c r="I966" s="38"/>
      <c r="J966" s="39"/>
      <c r="K966" s="39"/>
      <c r="L966" s="39"/>
      <c r="M966" s="39"/>
      <c r="N966" s="40"/>
      <c r="O966" s="40"/>
    </row>
    <row r="967" spans="1:15">
      <c r="A967" s="28" t="s">
        <v>1282</v>
      </c>
      <c r="B967" s="37">
        <v>0.055</v>
      </c>
      <c r="C967" s="37">
        <v>0.036</v>
      </c>
      <c r="D967" s="37">
        <v>0.529</v>
      </c>
      <c r="E967" s="37">
        <v>0.336</v>
      </c>
      <c r="F967">
        <v>0.0582</v>
      </c>
      <c r="G967">
        <v>12.4067</v>
      </c>
      <c r="I967" s="38"/>
      <c r="J967" s="39"/>
      <c r="K967" s="39"/>
      <c r="L967" s="39"/>
      <c r="M967" s="39"/>
      <c r="N967" s="40"/>
      <c r="O967" s="40"/>
    </row>
    <row r="968" spans="1:15">
      <c r="A968" s="28" t="s">
        <v>1283</v>
      </c>
      <c r="B968" s="37">
        <v>0.054</v>
      </c>
      <c r="C968" s="37">
        <v>0.04</v>
      </c>
      <c r="D968" s="37">
        <v>0.518</v>
      </c>
      <c r="E968" s="37">
        <v>0.372</v>
      </c>
      <c r="F968">
        <v>0.059</v>
      </c>
      <c r="G968">
        <v>12.4929</v>
      </c>
      <c r="I968" s="38"/>
      <c r="J968" s="39"/>
      <c r="K968" s="39"/>
      <c r="L968" s="39"/>
      <c r="M968" s="39"/>
      <c r="N968" s="40"/>
      <c r="O968" s="40"/>
    </row>
    <row r="969" spans="1:15">
      <c r="A969" s="28" t="s">
        <v>1284</v>
      </c>
      <c r="B969" s="37">
        <v>0.054</v>
      </c>
      <c r="C969" s="37">
        <v>0.039</v>
      </c>
      <c r="D969" s="37">
        <v>0.509</v>
      </c>
      <c r="E969" s="37">
        <v>0.364</v>
      </c>
      <c r="F969">
        <v>0.0592</v>
      </c>
      <c r="G969">
        <v>12.619</v>
      </c>
      <c r="I969" s="38"/>
      <c r="J969" s="39"/>
      <c r="K969" s="39"/>
      <c r="L969" s="39"/>
      <c r="M969" s="39"/>
      <c r="N969" s="40"/>
      <c r="O969" s="40"/>
    </row>
    <row r="970" spans="1:15">
      <c r="A970" s="28" t="s">
        <v>1285</v>
      </c>
      <c r="B970" s="37">
        <v>0.056</v>
      </c>
      <c r="C970" s="37">
        <v>0.04</v>
      </c>
      <c r="D970" s="37">
        <v>0.531</v>
      </c>
      <c r="E970" s="37">
        <v>0.37</v>
      </c>
      <c r="F970">
        <v>0.0595</v>
      </c>
      <c r="G970">
        <v>12.6338</v>
      </c>
      <c r="I970" s="38"/>
      <c r="J970" s="39"/>
      <c r="K970" s="39"/>
      <c r="L970" s="39"/>
      <c r="M970" s="39"/>
      <c r="N970" s="40"/>
      <c r="O970" s="40"/>
    </row>
    <row r="971" spans="1:15">
      <c r="A971" s="28" t="s">
        <v>1286</v>
      </c>
      <c r="B971" s="37">
        <v>0.06</v>
      </c>
      <c r="C971" s="37">
        <v>0.039</v>
      </c>
      <c r="D971" s="37">
        <v>0.562</v>
      </c>
      <c r="E971" s="37">
        <v>0.352</v>
      </c>
      <c r="F971">
        <v>0.0594</v>
      </c>
      <c r="G971">
        <v>12.8107</v>
      </c>
      <c r="I971" s="38"/>
      <c r="J971" s="39"/>
      <c r="K971" s="39"/>
      <c r="L971" s="39"/>
      <c r="M971" s="39"/>
      <c r="N971" s="40"/>
      <c r="O971" s="40"/>
    </row>
    <row r="972" spans="1:15">
      <c r="A972" s="28" t="s">
        <v>1287</v>
      </c>
      <c r="B972" s="37">
        <v>0.062</v>
      </c>
      <c r="C972" s="37">
        <v>0.038</v>
      </c>
      <c r="D972" s="37">
        <v>0.576</v>
      </c>
      <c r="E972" s="37">
        <v>0.342</v>
      </c>
      <c r="F972">
        <v>0.0598</v>
      </c>
      <c r="G972">
        <v>12.9001</v>
      </c>
      <c r="I972" s="38"/>
      <c r="J972" s="39"/>
      <c r="K972" s="39"/>
      <c r="L972" s="39"/>
      <c r="M972" s="39"/>
      <c r="N972" s="40"/>
      <c r="O972" s="40"/>
    </row>
    <row r="973" spans="1:15">
      <c r="A973" s="28" t="s">
        <v>1288</v>
      </c>
      <c r="B973" s="37">
        <v>0.066</v>
      </c>
      <c r="C973" s="37">
        <v>0.045</v>
      </c>
      <c r="D973" s="37">
        <v>0.61</v>
      </c>
      <c r="E973" s="37">
        <v>0.406</v>
      </c>
      <c r="F973">
        <v>0.0602</v>
      </c>
      <c r="G973">
        <v>13.0106</v>
      </c>
      <c r="I973" s="38"/>
      <c r="J973" s="39"/>
      <c r="K973" s="39"/>
      <c r="L973" s="39"/>
      <c r="M973" s="39"/>
      <c r="N973" s="40"/>
      <c r="O973" s="40"/>
    </row>
    <row r="974" spans="1:15">
      <c r="A974" s="28" t="s">
        <v>1289</v>
      </c>
      <c r="B974" s="37">
        <v>0.067</v>
      </c>
      <c r="C974" s="37">
        <v>0.047</v>
      </c>
      <c r="D974" s="37">
        <v>0.615</v>
      </c>
      <c r="E974" s="37">
        <v>0.416</v>
      </c>
      <c r="F974">
        <v>0.0603</v>
      </c>
      <c r="G974">
        <v>13.0625</v>
      </c>
      <c r="I974" s="38"/>
      <c r="J974" s="39"/>
      <c r="K974" s="39"/>
      <c r="L974" s="39"/>
      <c r="M974" s="39"/>
      <c r="N974" s="40"/>
      <c r="O974" s="40"/>
    </row>
    <row r="975" spans="1:15">
      <c r="A975" s="28" t="s">
        <v>1290</v>
      </c>
      <c r="B975" s="37">
        <v>0.069</v>
      </c>
      <c r="C975" s="37">
        <v>0.046</v>
      </c>
      <c r="D975" s="37">
        <v>0.628</v>
      </c>
      <c r="E975" s="37">
        <v>0.402</v>
      </c>
      <c r="F975">
        <v>0.0602</v>
      </c>
      <c r="G975">
        <v>13.0509</v>
      </c>
      <c r="I975" s="38"/>
      <c r="J975" s="39"/>
      <c r="K975" s="39"/>
      <c r="L975" s="39"/>
      <c r="M975" s="39"/>
      <c r="N975" s="40"/>
      <c r="O975" s="40"/>
    </row>
    <row r="976" spans="1:15">
      <c r="A976" s="28" t="s">
        <v>1291</v>
      </c>
      <c r="B976" s="37">
        <v>0.071</v>
      </c>
      <c r="C976" s="37">
        <v>0.044</v>
      </c>
      <c r="D976" s="37">
        <v>0.637</v>
      </c>
      <c r="E976" s="37">
        <v>0.381</v>
      </c>
      <c r="F976">
        <v>0.0607</v>
      </c>
      <c r="G976">
        <v>13.1584</v>
      </c>
      <c r="I976" s="38"/>
      <c r="J976" s="39"/>
      <c r="K976" s="39"/>
      <c r="L976" s="39"/>
      <c r="M976" s="39"/>
      <c r="N976" s="40"/>
      <c r="O976" s="40"/>
    </row>
    <row r="977" spans="1:15">
      <c r="A977" s="28" t="s">
        <v>1292</v>
      </c>
      <c r="B977" s="37">
        <v>0.07</v>
      </c>
      <c r="C977" s="37">
        <v>0.043</v>
      </c>
      <c r="D977" s="37">
        <v>0.627</v>
      </c>
      <c r="E977" s="37">
        <v>0.372</v>
      </c>
      <c r="F977">
        <v>0.0612</v>
      </c>
      <c r="G977">
        <v>13.2547</v>
      </c>
      <c r="I977" s="38"/>
      <c r="J977" s="39"/>
      <c r="K977" s="39"/>
      <c r="L977" s="39"/>
      <c r="M977" s="39"/>
      <c r="N977" s="40"/>
      <c r="O977" s="40"/>
    </row>
    <row r="978" spans="1:15">
      <c r="A978" s="28" t="s">
        <v>1293</v>
      </c>
      <c r="B978" s="37">
        <v>0.071</v>
      </c>
      <c r="C978" s="37">
        <v>0.042</v>
      </c>
      <c r="D978" s="37">
        <v>0.632</v>
      </c>
      <c r="E978" s="37">
        <v>0.364</v>
      </c>
      <c r="F978">
        <v>0.0616</v>
      </c>
      <c r="G978">
        <v>13.3377</v>
      </c>
      <c r="I978" s="38"/>
      <c r="J978" s="39"/>
      <c r="K978" s="39"/>
      <c r="L978" s="39"/>
      <c r="M978" s="39"/>
      <c r="N978" s="40"/>
      <c r="O978" s="40"/>
    </row>
    <row r="979" spans="1:15">
      <c r="A979" s="28" t="s">
        <v>1294</v>
      </c>
      <c r="B979" s="37">
        <v>0.074</v>
      </c>
      <c r="C979" s="37">
        <v>0.038</v>
      </c>
      <c r="D979" s="37">
        <v>0.649</v>
      </c>
      <c r="E979" s="37">
        <v>0.324</v>
      </c>
      <c r="F979">
        <v>0.0619</v>
      </c>
      <c r="G979">
        <v>13.4631</v>
      </c>
      <c r="I979" s="38"/>
      <c r="J979" s="39"/>
      <c r="K979" s="39"/>
      <c r="L979" s="39"/>
      <c r="M979" s="39"/>
      <c r="N979" s="40"/>
      <c r="O979" s="40"/>
    </row>
    <row r="980" spans="1:15">
      <c r="A980" s="28" t="s">
        <v>1295</v>
      </c>
      <c r="B980" s="37">
        <v>0.077</v>
      </c>
      <c r="C980" s="37">
        <v>0.038</v>
      </c>
      <c r="D980" s="37">
        <v>0.675</v>
      </c>
      <c r="E980" s="37">
        <v>0.326</v>
      </c>
      <c r="F980">
        <v>0.062</v>
      </c>
      <c r="G980">
        <v>13.5734</v>
      </c>
      <c r="I980" s="38"/>
      <c r="J980" s="39"/>
      <c r="K980" s="39"/>
      <c r="L980" s="39"/>
      <c r="M980" s="39"/>
      <c r="N980" s="40"/>
      <c r="O980" s="40"/>
    </row>
    <row r="981" spans="1:15">
      <c r="A981" s="28" t="s">
        <v>1296</v>
      </c>
      <c r="B981" s="37">
        <v>0.079</v>
      </c>
      <c r="C981" s="37">
        <v>0.038</v>
      </c>
      <c r="D981" s="37">
        <v>0.689</v>
      </c>
      <c r="E981" s="37">
        <v>0.323</v>
      </c>
      <c r="F981">
        <v>0.0621</v>
      </c>
      <c r="G981">
        <v>13.6369</v>
      </c>
      <c r="I981" s="38"/>
      <c r="J981" s="39"/>
      <c r="K981" s="39"/>
      <c r="L981" s="39"/>
      <c r="M981" s="39"/>
      <c r="N981" s="40"/>
      <c r="O981" s="40"/>
    </row>
    <row r="982" spans="1:15">
      <c r="A982" s="28" t="s">
        <v>1297</v>
      </c>
      <c r="B982" s="37">
        <v>0.08</v>
      </c>
      <c r="C982" s="37">
        <v>0.04</v>
      </c>
      <c r="D982" s="37">
        <v>0.694</v>
      </c>
      <c r="E982" s="37">
        <v>0.332</v>
      </c>
      <c r="F982">
        <v>0.0623</v>
      </c>
      <c r="G982">
        <v>13.7491</v>
      </c>
      <c r="I982" s="38"/>
      <c r="J982" s="39"/>
      <c r="K982" s="39"/>
      <c r="L982" s="39"/>
      <c r="M982" s="39"/>
      <c r="N982" s="40"/>
      <c r="O982" s="40"/>
    </row>
    <row r="983" spans="1:15">
      <c r="A983" s="28" t="s">
        <v>1298</v>
      </c>
      <c r="B983" s="37">
        <v>0.085</v>
      </c>
      <c r="C983" s="37">
        <v>0.037</v>
      </c>
      <c r="D983" s="37">
        <v>0.728</v>
      </c>
      <c r="E983" s="37">
        <v>0.305</v>
      </c>
      <c r="F983">
        <v>0.0624</v>
      </c>
      <c r="G983">
        <v>13.7485</v>
      </c>
      <c r="I983" s="38"/>
      <c r="J983" s="39"/>
      <c r="K983" s="39"/>
      <c r="L983" s="39"/>
      <c r="M983" s="39"/>
      <c r="N983" s="40"/>
      <c r="O983" s="40"/>
    </row>
    <row r="984" spans="1:15">
      <c r="A984" s="28" t="s">
        <v>1299</v>
      </c>
      <c r="B984" s="37">
        <v>0.083</v>
      </c>
      <c r="C984" s="37">
        <v>0.036</v>
      </c>
      <c r="D984" s="37">
        <v>0.706</v>
      </c>
      <c r="E984" s="37">
        <v>0.298</v>
      </c>
      <c r="F984">
        <v>0.0628</v>
      </c>
      <c r="G984">
        <v>13.7341</v>
      </c>
      <c r="I984" s="38"/>
      <c r="J984" s="39"/>
      <c r="K984" s="39"/>
      <c r="L984" s="39"/>
      <c r="M984" s="39"/>
      <c r="N984" s="40"/>
      <c r="O984" s="40"/>
    </row>
    <row r="985" spans="1:15">
      <c r="A985" s="28" t="s">
        <v>1300</v>
      </c>
      <c r="B985" s="37">
        <v>0.084</v>
      </c>
      <c r="C985" s="37">
        <v>0.034</v>
      </c>
      <c r="D985" s="37">
        <v>0.71</v>
      </c>
      <c r="E985" s="37">
        <v>0.278</v>
      </c>
      <c r="F985">
        <v>0.0629</v>
      </c>
      <c r="G985">
        <v>13.8605</v>
      </c>
      <c r="I985" s="38"/>
      <c r="J985" s="39"/>
      <c r="K985" s="39"/>
      <c r="L985" s="39"/>
      <c r="M985" s="39"/>
      <c r="N985" s="40"/>
      <c r="O985" s="40"/>
    </row>
    <row r="986" spans="1:15">
      <c r="A986" s="28" t="s">
        <v>1301</v>
      </c>
      <c r="B986" s="37">
        <v>0.083</v>
      </c>
      <c r="C986" s="37">
        <v>0.042</v>
      </c>
      <c r="D986" s="37">
        <v>0.694</v>
      </c>
      <c r="E986" s="37">
        <v>0.346</v>
      </c>
      <c r="F986">
        <v>0.0631</v>
      </c>
      <c r="G986">
        <v>13.8832</v>
      </c>
      <c r="I986" s="38"/>
      <c r="J986" s="39"/>
      <c r="K986" s="39"/>
      <c r="L986" s="39"/>
      <c r="M986" s="39"/>
      <c r="N986" s="40"/>
      <c r="O986" s="40"/>
    </row>
    <row r="987" spans="1:15">
      <c r="A987" s="28" t="s">
        <v>1302</v>
      </c>
      <c r="B987" s="37">
        <v>0.084</v>
      </c>
      <c r="C987" s="37">
        <v>0.049</v>
      </c>
      <c r="D987" s="37">
        <v>0.703</v>
      </c>
      <c r="E987" s="37">
        <v>0.394</v>
      </c>
      <c r="F987">
        <v>0.0629</v>
      </c>
      <c r="G987">
        <v>14.027</v>
      </c>
      <c r="I987" s="38"/>
      <c r="J987" s="39"/>
      <c r="K987" s="39"/>
      <c r="L987" s="39"/>
      <c r="M987" s="39"/>
      <c r="N987" s="40"/>
      <c r="O987" s="40"/>
    </row>
    <row r="988" spans="1:15">
      <c r="A988" s="28" t="s">
        <v>1303</v>
      </c>
      <c r="B988" s="37">
        <v>0.088</v>
      </c>
      <c r="C988" s="37">
        <v>0.049</v>
      </c>
      <c r="D988" s="37">
        <v>0.729</v>
      </c>
      <c r="E988" s="37">
        <v>0.395</v>
      </c>
      <c r="F988">
        <v>0.0633</v>
      </c>
      <c r="G988">
        <v>14.1812</v>
      </c>
      <c r="I988" s="38"/>
      <c r="J988" s="39"/>
      <c r="K988" s="39"/>
      <c r="L988" s="39"/>
      <c r="M988" s="39"/>
      <c r="N988" s="40"/>
      <c r="O988" s="40"/>
    </row>
    <row r="989" spans="1:15">
      <c r="A989" s="28" t="s">
        <v>1304</v>
      </c>
      <c r="B989" s="37">
        <v>0.088</v>
      </c>
      <c r="C989" s="37">
        <v>0.064</v>
      </c>
      <c r="D989" s="37">
        <v>0.722</v>
      </c>
      <c r="E989" s="37">
        <v>0.517</v>
      </c>
      <c r="F989">
        <v>0.064</v>
      </c>
      <c r="G989">
        <v>14.2907</v>
      </c>
      <c r="I989" s="38"/>
      <c r="J989" s="39"/>
      <c r="K989" s="39"/>
      <c r="L989" s="39"/>
      <c r="M989" s="39"/>
      <c r="N989" s="40"/>
      <c r="O989" s="40"/>
    </row>
    <row r="990" spans="1:15">
      <c r="A990" s="28" t="s">
        <v>1305</v>
      </c>
      <c r="B990" s="37">
        <v>0.093</v>
      </c>
      <c r="C990" s="37">
        <v>0.042</v>
      </c>
      <c r="D990" s="37">
        <v>0.754</v>
      </c>
      <c r="E990" s="37">
        <v>0.335</v>
      </c>
      <c r="F990">
        <v>0.0639</v>
      </c>
      <c r="G990">
        <v>14.3977</v>
      </c>
      <c r="I990" s="38"/>
      <c r="J990" s="39"/>
      <c r="K990" s="39"/>
      <c r="L990" s="39"/>
      <c r="M990" s="39"/>
      <c r="N990" s="40"/>
      <c r="O990" s="40"/>
    </row>
    <row r="991" spans="1:15">
      <c r="A991" s="28" t="s">
        <v>1306</v>
      </c>
      <c r="B991" s="37">
        <v>0.093</v>
      </c>
      <c r="C991" s="37">
        <v>0.042</v>
      </c>
      <c r="D991" s="37">
        <v>0.748</v>
      </c>
      <c r="E991" s="37">
        <v>0.337</v>
      </c>
      <c r="F991">
        <v>0.0643</v>
      </c>
      <c r="G991">
        <v>14.3594</v>
      </c>
      <c r="I991" s="38"/>
      <c r="J991" s="39"/>
      <c r="K991" s="39"/>
      <c r="L991" s="39"/>
      <c r="M991" s="39"/>
      <c r="N991" s="40"/>
      <c r="O991" s="40"/>
    </row>
    <row r="992" spans="1:15">
      <c r="A992" s="28" t="s">
        <v>1307</v>
      </c>
      <c r="B992" s="37">
        <v>0.091</v>
      </c>
      <c r="C992" s="37">
        <v>0.034</v>
      </c>
      <c r="D992" s="37">
        <v>0.73</v>
      </c>
      <c r="E992" s="37">
        <v>0.269</v>
      </c>
      <c r="F992">
        <v>0.0643</v>
      </c>
      <c r="G992">
        <v>14.4283</v>
      </c>
      <c r="I992" s="38"/>
      <c r="J992" s="39"/>
      <c r="K992" s="39"/>
      <c r="L992" s="39"/>
      <c r="M992" s="39"/>
      <c r="N992" s="40"/>
      <c r="O992" s="40"/>
    </row>
    <row r="993" spans="1:15">
      <c r="A993" s="28" t="s">
        <v>1308</v>
      </c>
      <c r="B993" s="37">
        <v>0.083</v>
      </c>
      <c r="C993" s="37">
        <v>0.031</v>
      </c>
      <c r="D993" s="37">
        <v>0.658</v>
      </c>
      <c r="E993" s="37">
        <v>0.241</v>
      </c>
      <c r="F993">
        <v>0.0645</v>
      </c>
      <c r="G993">
        <v>14.5019</v>
      </c>
      <c r="I993" s="38"/>
      <c r="J993" s="39"/>
      <c r="K993" s="39"/>
      <c r="L993" s="39"/>
      <c r="M993" s="39"/>
      <c r="N993" s="40"/>
      <c r="O993" s="40"/>
    </row>
    <row r="994" spans="1:15">
      <c r="A994" s="28" t="s">
        <v>1309</v>
      </c>
      <c r="B994" s="37">
        <v>0.078</v>
      </c>
      <c r="C994" s="37">
        <v>0.03</v>
      </c>
      <c r="D994" s="37">
        <v>0.616</v>
      </c>
      <c r="E994" s="37">
        <v>0.236</v>
      </c>
      <c r="F994">
        <v>0.0647</v>
      </c>
      <c r="G994">
        <v>14.6471</v>
      </c>
      <c r="I994" s="38"/>
      <c r="J994" s="39"/>
      <c r="K994" s="39"/>
      <c r="L994" s="39"/>
      <c r="M994" s="39"/>
      <c r="N994" s="40"/>
      <c r="O994" s="40"/>
    </row>
    <row r="995" spans="1:15">
      <c r="A995" s="28" t="s">
        <v>1310</v>
      </c>
      <c r="B995" s="37">
        <v>0.08</v>
      </c>
      <c r="C995" s="37">
        <v>0.061</v>
      </c>
      <c r="D995" s="37">
        <v>0.628</v>
      </c>
      <c r="E995" s="37">
        <v>0.475</v>
      </c>
      <c r="F995">
        <v>0.0648</v>
      </c>
      <c r="G995">
        <v>14.7741</v>
      </c>
      <c r="I995" s="38"/>
      <c r="J995" s="39"/>
      <c r="K995" s="39"/>
      <c r="L995" s="39"/>
      <c r="M995" s="39"/>
      <c r="N995" s="40"/>
      <c r="O995" s="40"/>
    </row>
    <row r="996" spans="1:15">
      <c r="A996" s="28" t="s">
        <v>1311</v>
      </c>
      <c r="B996" s="37">
        <v>0.078</v>
      </c>
      <c r="C996" s="37">
        <v>0.069</v>
      </c>
      <c r="D996" s="37">
        <v>0.611</v>
      </c>
      <c r="E996" s="37">
        <v>0.53</v>
      </c>
      <c r="F996">
        <v>0.0654</v>
      </c>
      <c r="G996">
        <v>14.872</v>
      </c>
      <c r="I996" s="38"/>
      <c r="J996" s="39"/>
      <c r="K996" s="39"/>
      <c r="L996" s="39"/>
      <c r="M996" s="39"/>
      <c r="N996" s="40"/>
      <c r="O996" s="40"/>
    </row>
    <row r="997" spans="1:15">
      <c r="A997" s="28" t="s">
        <v>1312</v>
      </c>
      <c r="B997" s="37">
        <v>0.077</v>
      </c>
      <c r="C997" s="37">
        <v>0.07</v>
      </c>
      <c r="D997" s="37">
        <v>0.599</v>
      </c>
      <c r="E997" s="37">
        <v>0.534</v>
      </c>
      <c r="F997">
        <v>0.0656</v>
      </c>
      <c r="G997">
        <v>14.996</v>
      </c>
      <c r="I997" s="38"/>
      <c r="J997" s="39"/>
      <c r="K997" s="39"/>
      <c r="L997" s="39"/>
      <c r="M997" s="39"/>
      <c r="N997" s="40"/>
      <c r="O997" s="40"/>
    </row>
    <row r="998" spans="1:15">
      <c r="A998" s="28" t="s">
        <v>1313</v>
      </c>
      <c r="B998" s="37">
        <v>0.08</v>
      </c>
      <c r="C998" s="37">
        <v>0.106</v>
      </c>
      <c r="D998" s="37">
        <v>0.614</v>
      </c>
      <c r="E998" s="37">
        <v>0.797</v>
      </c>
      <c r="F998">
        <v>0.066</v>
      </c>
      <c r="G998">
        <v>15.213</v>
      </c>
      <c r="I998" s="38"/>
      <c r="J998" s="39"/>
      <c r="K998" s="39"/>
      <c r="L998" s="39"/>
      <c r="M998" s="39"/>
      <c r="N998" s="40"/>
      <c r="O998" s="40"/>
    </row>
    <row r="999" spans="1:15">
      <c r="A999" s="28" t="s">
        <v>1314</v>
      </c>
      <c r="B999" s="37">
        <v>0.082</v>
      </c>
      <c r="C999" s="37">
        <v>0.114</v>
      </c>
      <c r="D999" s="37">
        <v>0.629</v>
      </c>
      <c r="E999" s="37">
        <v>0.847</v>
      </c>
      <c r="F999">
        <v>0.0664</v>
      </c>
      <c r="G999">
        <v>15.3286</v>
      </c>
      <c r="I999" s="38"/>
      <c r="J999" s="39"/>
      <c r="K999" s="39"/>
      <c r="L999" s="39"/>
      <c r="M999" s="39"/>
      <c r="N999" s="40"/>
      <c r="O999" s="40"/>
    </row>
    <row r="1000" spans="1:15">
      <c r="A1000" s="28" t="s">
        <v>1315</v>
      </c>
      <c r="B1000" s="37">
        <v>0.084</v>
      </c>
      <c r="C1000" s="37">
        <v>0.111</v>
      </c>
      <c r="D1000" s="37">
        <v>0.636</v>
      </c>
      <c r="E1000" s="37">
        <v>0.82</v>
      </c>
      <c r="F1000">
        <v>0.0665</v>
      </c>
      <c r="G1000">
        <v>15.3689</v>
      </c>
      <c r="I1000" s="38"/>
      <c r="J1000" s="39"/>
      <c r="K1000" s="39"/>
      <c r="L1000" s="39"/>
      <c r="M1000" s="39"/>
      <c r="N1000" s="40"/>
      <c r="O1000" s="40"/>
    </row>
    <row r="1001" spans="1:15">
      <c r="A1001" s="28" t="s">
        <v>1316</v>
      </c>
      <c r="B1001" s="37">
        <v>0.086</v>
      </c>
      <c r="C1001" s="37">
        <v>0.113</v>
      </c>
      <c r="D1001" s="37">
        <v>0.644</v>
      </c>
      <c r="E1001" s="37">
        <v>0.826</v>
      </c>
      <c r="F1001">
        <v>0.0669</v>
      </c>
      <c r="G1001">
        <v>15.3902</v>
      </c>
      <c r="I1001" s="38"/>
      <c r="J1001" s="39"/>
      <c r="K1001" s="39"/>
      <c r="L1001" s="39"/>
      <c r="M1001" s="39"/>
      <c r="N1001" s="40"/>
      <c r="O1001" s="40"/>
    </row>
    <row r="1002" spans="1:15">
      <c r="A1002" s="28" t="s">
        <v>1317</v>
      </c>
      <c r="B1002" s="37">
        <v>0.088</v>
      </c>
      <c r="C1002" s="37">
        <v>0.113</v>
      </c>
      <c r="D1002" s="37">
        <v>0.655</v>
      </c>
      <c r="E1002" s="37">
        <v>0.822</v>
      </c>
      <c r="F1002">
        <v>0.0672</v>
      </c>
      <c r="G1002">
        <v>15.4136</v>
      </c>
      <c r="I1002" s="38"/>
      <c r="J1002" s="39"/>
      <c r="K1002" s="39"/>
      <c r="L1002" s="39"/>
      <c r="M1002" s="39"/>
      <c r="N1002" s="40"/>
      <c r="O1002" s="40"/>
    </row>
    <row r="1003" spans="1:15">
      <c r="A1003" s="28" t="s">
        <v>1318</v>
      </c>
      <c r="B1003" s="37">
        <v>0.091</v>
      </c>
      <c r="C1003" s="37">
        <v>0.119</v>
      </c>
      <c r="D1003" s="37">
        <v>0.676</v>
      </c>
      <c r="E1003" s="37">
        <v>0.871</v>
      </c>
      <c r="F1003">
        <v>0.0679</v>
      </c>
      <c r="G1003">
        <v>15.515</v>
      </c>
      <c r="I1003" s="38"/>
      <c r="J1003" s="39"/>
      <c r="K1003" s="39"/>
      <c r="L1003" s="39"/>
      <c r="M1003" s="39"/>
      <c r="N1003" s="40"/>
      <c r="O1003" s="40"/>
    </row>
    <row r="1004" spans="1:15">
      <c r="A1004" s="28" t="s">
        <v>1319</v>
      </c>
      <c r="B1004" s="37">
        <v>0.097</v>
      </c>
      <c r="C1004" s="37">
        <v>0.13</v>
      </c>
      <c r="D1004" s="37">
        <v>0.711</v>
      </c>
      <c r="E1004" s="37">
        <v>0.94</v>
      </c>
      <c r="F1004">
        <v>0.0683</v>
      </c>
      <c r="G1004">
        <v>15.6569</v>
      </c>
      <c r="I1004" s="38"/>
      <c r="J1004" s="39"/>
      <c r="K1004" s="39"/>
      <c r="L1004" s="39"/>
      <c r="M1004" s="39"/>
      <c r="N1004" s="40"/>
      <c r="O1004" s="40"/>
    </row>
    <row r="1005" spans="1:15">
      <c r="A1005" s="28" t="s">
        <v>1320</v>
      </c>
      <c r="B1005" s="37">
        <v>0.102</v>
      </c>
      <c r="C1005" s="37">
        <v>0.131</v>
      </c>
      <c r="D1005" s="37">
        <v>0.74</v>
      </c>
      <c r="E1005" s="37">
        <v>0.943</v>
      </c>
      <c r="F1005">
        <v>0.0685</v>
      </c>
      <c r="G1005">
        <v>15.8706</v>
      </c>
      <c r="I1005" s="38"/>
      <c r="J1005" s="39"/>
      <c r="K1005" s="39"/>
      <c r="L1005" s="39"/>
      <c r="M1005" s="39"/>
      <c r="N1005" s="40"/>
      <c r="O1005" s="40"/>
    </row>
    <row r="1006" spans="1:15">
      <c r="A1006" s="28" t="s">
        <v>1321</v>
      </c>
      <c r="B1006" s="37">
        <v>0.108</v>
      </c>
      <c r="C1006" s="37">
        <v>0.159</v>
      </c>
      <c r="D1006" s="37">
        <v>0.78</v>
      </c>
      <c r="E1006" s="37">
        <v>1.138</v>
      </c>
      <c r="F1006">
        <v>0.0688</v>
      </c>
      <c r="G1006">
        <v>15.9207</v>
      </c>
      <c r="I1006" s="38"/>
      <c r="J1006" s="39"/>
      <c r="K1006" s="39"/>
      <c r="L1006" s="39"/>
      <c r="M1006" s="39"/>
      <c r="N1006" s="40"/>
      <c r="O1006" s="40"/>
    </row>
    <row r="1007" spans="1:15">
      <c r="A1007" s="28" t="s">
        <v>1322</v>
      </c>
      <c r="B1007" s="37">
        <v>0.111</v>
      </c>
      <c r="C1007" s="37">
        <v>0.185</v>
      </c>
      <c r="D1007" s="37">
        <v>0.8</v>
      </c>
      <c r="E1007" s="37">
        <v>1.307</v>
      </c>
      <c r="F1007">
        <v>0.0691</v>
      </c>
      <c r="G1007">
        <v>16.0759</v>
      </c>
      <c r="I1007" s="38"/>
      <c r="J1007" s="39"/>
      <c r="K1007" s="39"/>
      <c r="L1007" s="39"/>
      <c r="M1007" s="39"/>
      <c r="N1007" s="40"/>
      <c r="O1007" s="40"/>
    </row>
    <row r="1008" spans="1:15">
      <c r="A1008" s="28" t="s">
        <v>1323</v>
      </c>
      <c r="B1008" s="37">
        <v>0.113</v>
      </c>
      <c r="C1008" s="37">
        <v>0.183</v>
      </c>
      <c r="D1008" s="37">
        <v>0.809</v>
      </c>
      <c r="E1008" s="37">
        <v>1.285</v>
      </c>
      <c r="F1008">
        <v>0.0695</v>
      </c>
      <c r="G1008">
        <v>16.1487</v>
      </c>
      <c r="I1008" s="38"/>
      <c r="J1008" s="39"/>
      <c r="K1008" s="39"/>
      <c r="L1008" s="39"/>
      <c r="M1008" s="39"/>
      <c r="N1008" s="40"/>
      <c r="O1008" s="40"/>
    </row>
    <row r="1009" spans="1:15">
      <c r="A1009" s="28" t="s">
        <v>1324</v>
      </c>
      <c r="B1009" s="37">
        <v>0.119</v>
      </c>
      <c r="C1009" s="37">
        <v>0.148</v>
      </c>
      <c r="D1009" s="37">
        <v>0.846</v>
      </c>
      <c r="E1009" s="37">
        <v>1.027</v>
      </c>
      <c r="F1009">
        <v>0.07</v>
      </c>
      <c r="G1009">
        <v>16.2975</v>
      </c>
      <c r="I1009" s="38"/>
      <c r="J1009" s="39"/>
      <c r="K1009" s="39"/>
      <c r="L1009" s="39"/>
      <c r="M1009" s="39"/>
      <c r="N1009" s="40"/>
      <c r="O1009" s="40"/>
    </row>
    <row r="1010" spans="1:15">
      <c r="A1010" s="28" t="s">
        <v>1325</v>
      </c>
      <c r="B1010" s="37">
        <v>0.124</v>
      </c>
      <c r="C1010" s="37">
        <v>0.161</v>
      </c>
      <c r="D1010" s="37">
        <v>0.87</v>
      </c>
      <c r="E1010" s="37">
        <v>1.12</v>
      </c>
      <c r="F1010">
        <v>0.0698</v>
      </c>
      <c r="G1010">
        <v>16.3634</v>
      </c>
      <c r="I1010" s="38"/>
      <c r="J1010" s="39"/>
      <c r="K1010" s="39"/>
      <c r="L1010" s="39"/>
      <c r="M1010" s="39"/>
      <c r="N1010" s="40"/>
      <c r="O1010" s="40"/>
    </row>
    <row r="1011" spans="1:15">
      <c r="A1011" s="28" t="s">
        <v>1326</v>
      </c>
      <c r="B1011" s="37">
        <v>0.128</v>
      </c>
      <c r="C1011" s="37">
        <v>0.163</v>
      </c>
      <c r="D1011" s="37">
        <v>0.894</v>
      </c>
      <c r="E1011" s="37">
        <v>1.118</v>
      </c>
      <c r="F1011">
        <v>0.0705</v>
      </c>
      <c r="G1011">
        <v>16.4319</v>
      </c>
      <c r="I1011" s="38"/>
      <c r="J1011" s="39"/>
      <c r="K1011" s="39"/>
      <c r="L1011" s="39"/>
      <c r="M1011" s="39"/>
      <c r="N1011" s="40"/>
      <c r="O1011" s="40"/>
    </row>
    <row r="1012" spans="1:15">
      <c r="A1012" s="28" t="s">
        <v>1327</v>
      </c>
      <c r="B1012" s="37">
        <v>0.133</v>
      </c>
      <c r="C1012" s="37">
        <v>0.169</v>
      </c>
      <c r="D1012" s="37">
        <v>0.924</v>
      </c>
      <c r="E1012" s="37">
        <v>1.154</v>
      </c>
      <c r="F1012">
        <v>0.0707</v>
      </c>
      <c r="G1012">
        <v>16.5442</v>
      </c>
      <c r="I1012" s="38"/>
      <c r="J1012" s="39"/>
      <c r="K1012" s="39"/>
      <c r="L1012" s="39"/>
      <c r="M1012" s="39"/>
      <c r="N1012" s="40"/>
      <c r="O1012" s="40"/>
    </row>
    <row r="1013" spans="1:15">
      <c r="A1013" s="28" t="s">
        <v>1328</v>
      </c>
      <c r="B1013" s="37">
        <v>0.137</v>
      </c>
      <c r="C1013" s="37">
        <v>0.18</v>
      </c>
      <c r="D1013" s="37">
        <v>0.941</v>
      </c>
      <c r="E1013" s="37">
        <v>1.221</v>
      </c>
      <c r="F1013">
        <v>0.071</v>
      </c>
      <c r="G1013">
        <v>16.648</v>
      </c>
      <c r="I1013" s="38"/>
      <c r="J1013" s="39"/>
      <c r="K1013" s="39"/>
      <c r="L1013" s="39"/>
      <c r="M1013" s="39"/>
      <c r="N1013" s="40"/>
      <c r="O1013" s="40"/>
    </row>
    <row r="1014" spans="1:15">
      <c r="A1014" s="28" t="s">
        <v>1329</v>
      </c>
      <c r="B1014" s="37">
        <v>0.138</v>
      </c>
      <c r="C1014" s="37">
        <v>0.184</v>
      </c>
      <c r="D1014" s="37">
        <v>0.941</v>
      </c>
      <c r="E1014" s="37">
        <v>1.23</v>
      </c>
      <c r="F1014">
        <v>0.0715</v>
      </c>
      <c r="G1014">
        <v>16.7131</v>
      </c>
      <c r="I1014" s="38"/>
      <c r="J1014" s="39"/>
      <c r="K1014" s="39"/>
      <c r="L1014" s="39"/>
      <c r="M1014" s="39"/>
      <c r="N1014" s="40"/>
      <c r="O1014" s="40"/>
    </row>
    <row r="1015" spans="1:15">
      <c r="A1015" s="28" t="s">
        <v>1330</v>
      </c>
      <c r="B1015" s="37">
        <v>0.141</v>
      </c>
      <c r="C1015" s="37">
        <v>0.189</v>
      </c>
      <c r="D1015" s="37">
        <v>0.958</v>
      </c>
      <c r="E1015" s="37">
        <v>1.248</v>
      </c>
      <c r="F1015">
        <v>0.072</v>
      </c>
      <c r="G1015">
        <v>16.7783</v>
      </c>
      <c r="I1015" s="38"/>
      <c r="J1015" s="39"/>
      <c r="K1015" s="39"/>
      <c r="L1015" s="39"/>
      <c r="M1015" s="39"/>
      <c r="N1015" s="40"/>
      <c r="O1015" s="40"/>
    </row>
    <row r="1016" spans="1:15">
      <c r="A1016" s="28" t="s">
        <v>1331</v>
      </c>
      <c r="B1016" s="37">
        <v>0.142</v>
      </c>
      <c r="C1016" s="37">
        <v>0.154</v>
      </c>
      <c r="D1016" s="37">
        <v>0.957</v>
      </c>
      <c r="E1016" s="37">
        <v>1.018</v>
      </c>
      <c r="F1016">
        <v>0.072</v>
      </c>
      <c r="G1016">
        <v>16.8227</v>
      </c>
      <c r="I1016" s="38"/>
      <c r="J1016" s="39"/>
      <c r="K1016" s="39"/>
      <c r="L1016" s="39"/>
      <c r="M1016" s="39"/>
      <c r="N1016" s="40"/>
      <c r="O1016" s="40"/>
    </row>
    <row r="1017" spans="1:15">
      <c r="A1017" s="28" t="s">
        <v>1332</v>
      </c>
      <c r="B1017" s="37">
        <v>0.145</v>
      </c>
      <c r="C1017" s="37">
        <v>0.16</v>
      </c>
      <c r="D1017" s="37">
        <v>0.969</v>
      </c>
      <c r="E1017" s="37">
        <v>1.046</v>
      </c>
      <c r="F1017">
        <v>0.0725</v>
      </c>
      <c r="G1017">
        <v>16.9309</v>
      </c>
      <c r="I1017" s="38"/>
      <c r="J1017" s="39"/>
      <c r="K1017" s="39"/>
      <c r="L1017" s="39"/>
      <c r="M1017" s="39"/>
      <c r="N1017" s="40"/>
      <c r="O1017" s="40"/>
    </row>
    <row r="1018" spans="1:15">
      <c r="A1018" s="28" t="s">
        <v>1333</v>
      </c>
      <c r="B1018" s="37">
        <v>0.146</v>
      </c>
      <c r="C1018" s="37">
        <v>0.156</v>
      </c>
      <c r="D1018" s="37">
        <v>0.967</v>
      </c>
      <c r="E1018" s="37">
        <v>1.007</v>
      </c>
      <c r="F1018">
        <v>0.0728</v>
      </c>
      <c r="G1018">
        <v>17.0213</v>
      </c>
      <c r="I1018" s="38"/>
      <c r="J1018" s="39"/>
      <c r="K1018" s="39"/>
      <c r="L1018" s="39"/>
      <c r="M1018" s="39"/>
      <c r="N1018" s="40"/>
      <c r="O1018" s="40"/>
    </row>
    <row r="1019" spans="1:15">
      <c r="A1019" s="28" t="s">
        <v>1334</v>
      </c>
      <c r="B1019" s="37">
        <v>0.146</v>
      </c>
      <c r="C1019" s="37">
        <v>0.153</v>
      </c>
      <c r="D1019" s="37">
        <v>0.961</v>
      </c>
      <c r="E1019" s="37">
        <v>0.981</v>
      </c>
      <c r="F1019">
        <v>0.0732</v>
      </c>
      <c r="G1019">
        <v>17.0806</v>
      </c>
      <c r="I1019" s="38"/>
      <c r="J1019" s="39"/>
      <c r="K1019" s="39"/>
      <c r="L1019" s="39"/>
      <c r="M1019" s="39"/>
      <c r="N1019" s="40"/>
      <c r="O1019" s="40"/>
    </row>
    <row r="1020" spans="1:15">
      <c r="A1020" s="28" t="s">
        <v>1335</v>
      </c>
      <c r="B1020" s="37">
        <v>0.151</v>
      </c>
      <c r="C1020" s="37">
        <v>0.19</v>
      </c>
      <c r="D1020" s="37">
        <v>0.988</v>
      </c>
      <c r="E1020" s="37">
        <v>1.201</v>
      </c>
      <c r="F1020">
        <v>0.0735</v>
      </c>
      <c r="G1020">
        <v>17.0991</v>
      </c>
      <c r="I1020" s="38"/>
      <c r="J1020" s="39"/>
      <c r="K1020" s="39"/>
      <c r="L1020" s="39"/>
      <c r="M1020" s="39"/>
      <c r="N1020" s="40"/>
      <c r="O1020" s="40"/>
    </row>
    <row r="1021" spans="1:15">
      <c r="A1021" s="28" t="s">
        <v>1336</v>
      </c>
      <c r="B1021" s="37">
        <v>0.164</v>
      </c>
      <c r="C1021" s="37">
        <v>0.192</v>
      </c>
      <c r="D1021" s="37">
        <v>1.063</v>
      </c>
      <c r="E1021" s="37">
        <v>1.209</v>
      </c>
      <c r="F1021">
        <v>0.0738</v>
      </c>
      <c r="G1021">
        <v>17.1245</v>
      </c>
      <c r="I1021" s="38"/>
      <c r="J1021" s="39"/>
      <c r="K1021" s="39"/>
      <c r="L1021" s="39"/>
      <c r="M1021" s="39"/>
      <c r="N1021" s="40"/>
      <c r="O1021" s="40"/>
    </row>
    <row r="1022" spans="1:15">
      <c r="A1022" s="28" t="s">
        <v>1337</v>
      </c>
      <c r="B1022" s="37">
        <v>0.168</v>
      </c>
      <c r="C1022" s="37">
        <v>0.212</v>
      </c>
      <c r="D1022" s="37">
        <v>1.08</v>
      </c>
      <c r="E1022" s="37">
        <v>1.326</v>
      </c>
      <c r="F1022">
        <v>0.0743</v>
      </c>
      <c r="G1022">
        <v>17.2238</v>
      </c>
      <c r="I1022" s="38"/>
      <c r="J1022" s="39"/>
      <c r="K1022" s="39"/>
      <c r="L1022" s="39"/>
      <c r="M1022" s="39"/>
      <c r="N1022" s="40"/>
      <c r="O1022" s="40"/>
    </row>
    <row r="1023" spans="1:15">
      <c r="A1023" s="28" t="s">
        <v>1338</v>
      </c>
      <c r="B1023" s="37">
        <v>0.173</v>
      </c>
      <c r="C1023" s="37">
        <v>0.23</v>
      </c>
      <c r="D1023" s="37">
        <v>1.107</v>
      </c>
      <c r="E1023" s="37">
        <v>1.44</v>
      </c>
      <c r="F1023">
        <v>0.075</v>
      </c>
      <c r="G1023">
        <v>17.3905</v>
      </c>
      <c r="I1023" s="38"/>
      <c r="J1023" s="39"/>
      <c r="K1023" s="39"/>
      <c r="L1023" s="39"/>
      <c r="M1023" s="39"/>
      <c r="N1023" s="40"/>
      <c r="O1023" s="40"/>
    </row>
    <row r="1024" spans="1:15">
      <c r="A1024" s="28" t="s">
        <v>1339</v>
      </c>
      <c r="B1024" s="37">
        <v>0.174</v>
      </c>
      <c r="C1024" s="37">
        <v>0.219</v>
      </c>
      <c r="D1024" s="37">
        <v>1.106</v>
      </c>
      <c r="E1024" s="37">
        <v>1.368</v>
      </c>
      <c r="F1024">
        <v>0.0757</v>
      </c>
      <c r="G1024">
        <v>17.4941</v>
      </c>
      <c r="I1024" s="38"/>
      <c r="J1024" s="39"/>
      <c r="K1024" s="39"/>
      <c r="L1024" s="39"/>
      <c r="M1024" s="39"/>
      <c r="N1024" s="40"/>
      <c r="O1024" s="40"/>
    </row>
    <row r="1025" spans="1:15">
      <c r="A1025" s="28" t="s">
        <v>1340</v>
      </c>
      <c r="B1025" s="37">
        <v>0.178</v>
      </c>
      <c r="C1025" s="37">
        <v>0.222</v>
      </c>
      <c r="D1025" s="37">
        <v>1.123</v>
      </c>
      <c r="E1025" s="37">
        <v>1.371</v>
      </c>
      <c r="F1025">
        <v>0.0762</v>
      </c>
      <c r="G1025">
        <v>17.5481</v>
      </c>
      <c r="I1025" s="38"/>
      <c r="J1025" s="39"/>
      <c r="K1025" s="39"/>
      <c r="L1025" s="39"/>
      <c r="M1025" s="39"/>
      <c r="N1025" s="40"/>
      <c r="O1025" s="40"/>
    </row>
    <row r="1026" spans="1:15">
      <c r="A1026" s="28" t="s">
        <v>1341</v>
      </c>
      <c r="B1026" s="37">
        <v>0.179</v>
      </c>
      <c r="C1026" s="37">
        <v>0.208</v>
      </c>
      <c r="D1026" s="37">
        <v>1.125</v>
      </c>
      <c r="E1026" s="37">
        <v>1.272</v>
      </c>
      <c r="F1026">
        <v>0.0767</v>
      </c>
      <c r="G1026">
        <v>17.5538</v>
      </c>
      <c r="I1026" s="38"/>
      <c r="J1026" s="39"/>
      <c r="K1026" s="39"/>
      <c r="L1026" s="39"/>
      <c r="M1026" s="39"/>
      <c r="N1026" s="40"/>
      <c r="O1026" s="40"/>
    </row>
    <row r="1027" spans="1:15">
      <c r="A1027" s="28" t="s">
        <v>1342</v>
      </c>
      <c r="B1027" s="37">
        <v>0.182</v>
      </c>
      <c r="C1027" s="37">
        <v>0.212</v>
      </c>
      <c r="D1027" s="37">
        <v>1.136</v>
      </c>
      <c r="E1027" s="37">
        <v>1.29</v>
      </c>
      <c r="F1027">
        <v>0.0771</v>
      </c>
      <c r="G1027">
        <v>17.7162</v>
      </c>
      <c r="I1027" s="38"/>
      <c r="J1027" s="39"/>
      <c r="K1027" s="39"/>
      <c r="L1027" s="39"/>
      <c r="M1027" s="39"/>
      <c r="N1027" s="40"/>
      <c r="O1027" s="40"/>
    </row>
    <row r="1028" spans="1:15">
      <c r="A1028" s="28" t="s">
        <v>1343</v>
      </c>
      <c r="B1028" s="37">
        <v>0.184</v>
      </c>
      <c r="C1028" s="37">
        <v>0.207</v>
      </c>
      <c r="D1028" s="37">
        <v>1.144</v>
      </c>
      <c r="E1028" s="37">
        <v>1.254</v>
      </c>
      <c r="F1028">
        <v>0.0774</v>
      </c>
      <c r="G1028">
        <v>17.7817</v>
      </c>
      <c r="I1028" s="38"/>
      <c r="J1028" s="39"/>
      <c r="K1028" s="39"/>
      <c r="L1028" s="39"/>
      <c r="M1028" s="39"/>
      <c r="N1028" s="40"/>
      <c r="O1028" s="40"/>
    </row>
    <row r="1029" spans="1:15">
      <c r="A1029" s="28" t="s">
        <v>1344</v>
      </c>
      <c r="B1029" s="37">
        <v>0.186</v>
      </c>
      <c r="C1029" s="37">
        <v>0.207</v>
      </c>
      <c r="D1029" s="37">
        <v>1.151</v>
      </c>
      <c r="E1029" s="37">
        <v>1.241</v>
      </c>
      <c r="F1029">
        <v>0.0782</v>
      </c>
      <c r="G1029">
        <v>17.8737</v>
      </c>
      <c r="I1029" s="38"/>
      <c r="J1029" s="39"/>
      <c r="K1029" s="39"/>
      <c r="L1029" s="39"/>
      <c r="M1029" s="39"/>
      <c r="N1029" s="40"/>
      <c r="O1029" s="40"/>
    </row>
    <row r="1030" spans="1:15">
      <c r="A1030" s="28" t="s">
        <v>1345</v>
      </c>
      <c r="B1030" s="37">
        <v>0.186</v>
      </c>
      <c r="C1030" s="37">
        <v>0.206</v>
      </c>
      <c r="D1030" s="37">
        <v>1.141</v>
      </c>
      <c r="E1030" s="37">
        <v>1.231</v>
      </c>
      <c r="F1030">
        <v>0.0786</v>
      </c>
      <c r="G1030">
        <v>17.9277</v>
      </c>
      <c r="I1030" s="38"/>
      <c r="J1030" s="39"/>
      <c r="K1030" s="39"/>
      <c r="L1030" s="39"/>
      <c r="M1030" s="39"/>
      <c r="N1030" s="40"/>
      <c r="O1030" s="40"/>
    </row>
    <row r="1031" spans="1:15">
      <c r="A1031" s="28" t="s">
        <v>1346</v>
      </c>
      <c r="B1031" s="37">
        <v>0.19</v>
      </c>
      <c r="C1031" s="37">
        <v>0.198</v>
      </c>
      <c r="D1031" s="37">
        <v>1.157</v>
      </c>
      <c r="E1031" s="37">
        <v>1.181</v>
      </c>
      <c r="F1031">
        <v>0.0788</v>
      </c>
      <c r="G1031">
        <v>17.881</v>
      </c>
      <c r="I1031" s="38"/>
      <c r="J1031" s="39"/>
      <c r="K1031" s="39"/>
      <c r="L1031" s="39"/>
      <c r="M1031" s="39"/>
      <c r="N1031" s="40"/>
      <c r="O1031" s="40"/>
    </row>
    <row r="1032" spans="1:15">
      <c r="A1032" s="28" t="s">
        <v>1347</v>
      </c>
      <c r="B1032" s="37">
        <v>0.19</v>
      </c>
      <c r="C1032" s="37">
        <v>0.198</v>
      </c>
      <c r="D1032" s="37">
        <v>1.154</v>
      </c>
      <c r="E1032" s="37">
        <v>1.175</v>
      </c>
      <c r="F1032">
        <v>0.0792</v>
      </c>
      <c r="G1032">
        <v>18.0225</v>
      </c>
      <c r="I1032" s="38"/>
      <c r="J1032" s="39"/>
      <c r="K1032" s="39"/>
      <c r="L1032" s="39"/>
      <c r="M1032" s="39"/>
      <c r="N1032" s="40"/>
      <c r="O1032" s="40"/>
    </row>
    <row r="1033" spans="1:15">
      <c r="A1033" s="28" t="s">
        <v>1348</v>
      </c>
      <c r="B1033" s="37">
        <v>0.193</v>
      </c>
      <c r="C1033" s="37">
        <v>0.198</v>
      </c>
      <c r="D1033" s="37">
        <v>1.166</v>
      </c>
      <c r="E1033" s="37">
        <v>1.169</v>
      </c>
      <c r="F1033">
        <v>0.08</v>
      </c>
      <c r="G1033">
        <v>18.1414</v>
      </c>
      <c r="I1033" s="38"/>
      <c r="J1033" s="39"/>
      <c r="K1033" s="39"/>
      <c r="L1033" s="39"/>
      <c r="M1033" s="39"/>
      <c r="N1033" s="40"/>
      <c r="O1033" s="40"/>
    </row>
    <row r="1034" spans="1:15">
      <c r="A1034" s="28" t="s">
        <v>1349</v>
      </c>
      <c r="B1034" s="37">
        <v>0.194</v>
      </c>
      <c r="C1034" s="37">
        <v>0.213</v>
      </c>
      <c r="D1034" s="37">
        <v>1.162</v>
      </c>
      <c r="E1034" s="37">
        <v>1.253</v>
      </c>
      <c r="F1034">
        <v>0.0803</v>
      </c>
      <c r="G1034">
        <v>18.2743</v>
      </c>
      <c r="I1034" s="38"/>
      <c r="J1034" s="39"/>
      <c r="K1034" s="39"/>
      <c r="L1034" s="39"/>
      <c r="M1034" s="39"/>
      <c r="N1034" s="40"/>
      <c r="O1034" s="40"/>
    </row>
    <row r="1035" spans="1:15">
      <c r="A1035" s="28" t="s">
        <v>1350</v>
      </c>
      <c r="B1035" s="37">
        <v>0.2</v>
      </c>
      <c r="C1035" s="37">
        <v>0.216</v>
      </c>
      <c r="D1035" s="37">
        <v>1.192</v>
      </c>
      <c r="E1035" s="37">
        <v>1.265</v>
      </c>
      <c r="F1035">
        <v>0.0806</v>
      </c>
      <c r="G1035">
        <v>18.4659</v>
      </c>
      <c r="I1035" s="38"/>
      <c r="J1035" s="39"/>
      <c r="K1035" s="39"/>
      <c r="L1035" s="39"/>
      <c r="M1035" s="39"/>
      <c r="N1035" s="40"/>
      <c r="O1035" s="40"/>
    </row>
    <row r="1036" spans="1:15">
      <c r="A1036" s="28" t="s">
        <v>1351</v>
      </c>
      <c r="B1036" s="37">
        <v>0.202</v>
      </c>
      <c r="C1036" s="37">
        <v>0.223</v>
      </c>
      <c r="D1036" s="37">
        <v>1.198</v>
      </c>
      <c r="E1036" s="37">
        <v>1.301</v>
      </c>
      <c r="F1036">
        <v>0.0806</v>
      </c>
      <c r="G1036">
        <v>18.549</v>
      </c>
      <c r="I1036" s="38"/>
      <c r="J1036" s="39"/>
      <c r="K1036" s="39"/>
      <c r="L1036" s="39"/>
      <c r="M1036" s="39"/>
      <c r="N1036" s="40"/>
      <c r="O1036" s="40"/>
    </row>
    <row r="1037" spans="1:15">
      <c r="A1037" s="28" t="s">
        <v>1352</v>
      </c>
      <c r="B1037" s="37">
        <v>0.206</v>
      </c>
      <c r="C1037" s="37">
        <v>0.214</v>
      </c>
      <c r="D1037" s="37">
        <v>1.216</v>
      </c>
      <c r="E1037" s="37">
        <v>1.235</v>
      </c>
      <c r="F1037">
        <v>0.0807</v>
      </c>
      <c r="G1037">
        <v>18.5938</v>
      </c>
      <c r="I1037" s="38"/>
      <c r="J1037" s="39"/>
      <c r="K1037" s="39"/>
      <c r="L1037" s="39"/>
      <c r="M1037" s="39"/>
      <c r="N1037" s="40"/>
      <c r="O1037" s="40"/>
    </row>
    <row r="1038" spans="1:15">
      <c r="A1038" s="28" t="s">
        <v>1353</v>
      </c>
      <c r="B1038" s="37">
        <v>0.212</v>
      </c>
      <c r="C1038" s="37">
        <v>0.217</v>
      </c>
      <c r="D1038" s="37">
        <v>1.242</v>
      </c>
      <c r="E1038" s="37">
        <v>1.245</v>
      </c>
      <c r="F1038">
        <v>0.0808</v>
      </c>
      <c r="G1038">
        <v>18.7362</v>
      </c>
      <c r="I1038" s="38"/>
      <c r="J1038" s="39"/>
      <c r="K1038" s="39"/>
      <c r="L1038" s="39"/>
      <c r="M1038" s="39"/>
      <c r="N1038" s="40"/>
      <c r="O1038" s="40"/>
    </row>
    <row r="1039" spans="1:15">
      <c r="A1039" s="28" t="s">
        <v>1354</v>
      </c>
      <c r="B1039" s="37">
        <v>0.217</v>
      </c>
      <c r="C1039" s="37">
        <v>0.206</v>
      </c>
      <c r="D1039" s="37">
        <v>1.265</v>
      </c>
      <c r="E1039" s="37">
        <v>1.177</v>
      </c>
      <c r="F1039">
        <v>0.0809</v>
      </c>
      <c r="G1039">
        <v>18.7946</v>
      </c>
      <c r="I1039" s="38"/>
      <c r="J1039" s="39"/>
      <c r="K1039" s="39"/>
      <c r="L1039" s="39"/>
      <c r="M1039" s="39"/>
      <c r="N1039" s="40"/>
      <c r="O1039" s="40"/>
    </row>
    <row r="1040" spans="1:15">
      <c r="A1040" s="28" t="s">
        <v>1355</v>
      </c>
      <c r="B1040" s="37">
        <v>0.222</v>
      </c>
      <c r="C1040" s="37">
        <v>0.216</v>
      </c>
      <c r="D1040" s="37">
        <v>1.29</v>
      </c>
      <c r="E1040" s="37">
        <v>1.226</v>
      </c>
      <c r="F1040">
        <v>0.081</v>
      </c>
      <c r="G1040">
        <v>18.8193</v>
      </c>
      <c r="I1040" s="38"/>
      <c r="J1040" s="39"/>
      <c r="K1040" s="39"/>
      <c r="L1040" s="39"/>
      <c r="M1040" s="39"/>
      <c r="N1040" s="40"/>
      <c r="O1040" s="40"/>
    </row>
    <row r="1041" spans="1:15">
      <c r="A1041" s="28" t="s">
        <v>1356</v>
      </c>
      <c r="B1041" s="37">
        <v>0.227</v>
      </c>
      <c r="C1041" s="37">
        <v>0.213</v>
      </c>
      <c r="D1041" s="37">
        <v>1.309</v>
      </c>
      <c r="E1041" s="37">
        <v>1.196</v>
      </c>
      <c r="F1041">
        <v>0.0813</v>
      </c>
      <c r="G1041">
        <v>19.0086</v>
      </c>
      <c r="I1041" s="38"/>
      <c r="J1041" s="39"/>
      <c r="K1041" s="39"/>
      <c r="L1041" s="39"/>
      <c r="M1041" s="39"/>
      <c r="N1041" s="40"/>
      <c r="O1041" s="40"/>
    </row>
    <row r="1042" spans="1:15">
      <c r="A1042" s="28" t="s">
        <v>1357</v>
      </c>
      <c r="B1042" s="37">
        <v>0.228</v>
      </c>
      <c r="C1042" s="37">
        <v>0.22</v>
      </c>
      <c r="D1042" s="37">
        <v>1.308</v>
      </c>
      <c r="E1042" s="37">
        <v>1.228</v>
      </c>
      <c r="F1042">
        <v>0.0815</v>
      </c>
      <c r="G1042">
        <v>19.1404</v>
      </c>
      <c r="I1042" s="38"/>
      <c r="J1042" s="39"/>
      <c r="K1042" s="39"/>
      <c r="L1042" s="39"/>
      <c r="M1042" s="39"/>
      <c r="N1042" s="40"/>
      <c r="O1042" s="40"/>
    </row>
    <row r="1043" spans="1:15">
      <c r="A1043" s="28" t="s">
        <v>1358</v>
      </c>
      <c r="B1043" s="37">
        <v>0.23</v>
      </c>
      <c r="C1043" s="37">
        <v>0.235</v>
      </c>
      <c r="D1043" s="37">
        <v>1.309</v>
      </c>
      <c r="E1043" s="37">
        <v>1.3</v>
      </c>
      <c r="F1043">
        <v>0.0818</v>
      </c>
      <c r="G1043">
        <v>19.2483</v>
      </c>
      <c r="I1043" s="38"/>
      <c r="J1043" s="39"/>
      <c r="K1043" s="39"/>
      <c r="L1043" s="39"/>
      <c r="M1043" s="39"/>
      <c r="N1043" s="40"/>
      <c r="O1043" s="40"/>
    </row>
    <row r="1044" spans="1:15">
      <c r="A1044" s="28" t="s">
        <v>1359</v>
      </c>
      <c r="B1044" s="37">
        <v>0.233</v>
      </c>
      <c r="C1044" s="37">
        <v>0.232</v>
      </c>
      <c r="D1044" s="37">
        <v>1.319</v>
      </c>
      <c r="E1044" s="37">
        <v>1.274</v>
      </c>
      <c r="F1044">
        <v>0.0821</v>
      </c>
      <c r="G1044">
        <v>19.477</v>
      </c>
      <c r="I1044" s="38"/>
      <c r="J1044" s="39"/>
      <c r="K1044" s="39"/>
      <c r="L1044" s="39"/>
      <c r="M1044" s="39"/>
      <c r="N1044" s="40"/>
      <c r="O1044" s="40"/>
    </row>
    <row r="1045" spans="1:15">
      <c r="A1045" s="28" t="s">
        <v>1360</v>
      </c>
      <c r="B1045" s="37">
        <v>0.228</v>
      </c>
      <c r="C1045" s="37">
        <v>0.249</v>
      </c>
      <c r="D1045" s="37">
        <v>1.284</v>
      </c>
      <c r="E1045" s="37">
        <v>1.362</v>
      </c>
      <c r="F1045">
        <v>0.0828</v>
      </c>
      <c r="G1045">
        <v>19.4435</v>
      </c>
      <c r="I1045" s="38"/>
      <c r="J1045" s="39"/>
      <c r="K1045" s="39"/>
      <c r="L1045" s="39"/>
      <c r="M1045" s="39"/>
      <c r="N1045" s="40"/>
      <c r="O1045" s="40"/>
    </row>
    <row r="1046" spans="1:15">
      <c r="A1046" s="28" t="s">
        <v>1361</v>
      </c>
      <c r="B1046" s="37">
        <v>0.222</v>
      </c>
      <c r="C1046" s="37">
        <v>0.25</v>
      </c>
      <c r="D1046" s="37">
        <v>1.242</v>
      </c>
      <c r="E1046" s="37">
        <v>1.356</v>
      </c>
      <c r="F1046">
        <v>0.083</v>
      </c>
      <c r="G1046">
        <v>19.4767</v>
      </c>
      <c r="I1046" s="38"/>
      <c r="J1046" s="39"/>
      <c r="K1046" s="39"/>
      <c r="L1046" s="39"/>
      <c r="M1046" s="39"/>
      <c r="N1046" s="40"/>
      <c r="O1046" s="40"/>
    </row>
    <row r="1047" spans="1:15">
      <c r="A1047" s="28" t="s">
        <v>1362</v>
      </c>
      <c r="B1047" s="37">
        <v>0.209</v>
      </c>
      <c r="C1047" s="37">
        <v>0.234</v>
      </c>
      <c r="D1047" s="37">
        <v>1.16</v>
      </c>
      <c r="E1047" s="37">
        <v>1.264</v>
      </c>
      <c r="F1047">
        <v>0.0832</v>
      </c>
      <c r="G1047">
        <v>19.5406</v>
      </c>
      <c r="I1047" s="38"/>
      <c r="J1047" s="39"/>
      <c r="K1047" s="39"/>
      <c r="L1047" s="39"/>
      <c r="M1047" s="39"/>
      <c r="N1047" s="40"/>
      <c r="O1047" s="40"/>
    </row>
    <row r="1048" spans="1:15">
      <c r="A1048" s="28" t="s">
        <v>1363</v>
      </c>
      <c r="B1048" s="37">
        <v>0.197</v>
      </c>
      <c r="C1048" s="37">
        <v>0.216</v>
      </c>
      <c r="D1048" s="37">
        <v>1.083</v>
      </c>
      <c r="E1048" s="37">
        <v>1.159</v>
      </c>
      <c r="F1048">
        <v>0.0838</v>
      </c>
      <c r="G1048">
        <v>19.6199</v>
      </c>
      <c r="I1048" s="38"/>
      <c r="J1048" s="39"/>
      <c r="K1048" s="39"/>
      <c r="L1048" s="39"/>
      <c r="M1048" s="39"/>
      <c r="N1048" s="40"/>
      <c r="O1048" s="40"/>
    </row>
    <row r="1049" spans="1:15">
      <c r="A1049" s="28" t="s">
        <v>1364</v>
      </c>
      <c r="B1049" s="37">
        <v>0.192</v>
      </c>
      <c r="C1049" s="37">
        <v>0.201</v>
      </c>
      <c r="D1049" s="37">
        <v>1.046</v>
      </c>
      <c r="E1049" s="37">
        <v>1.073</v>
      </c>
      <c r="F1049">
        <v>0.0843</v>
      </c>
      <c r="G1049">
        <v>19.7226</v>
      </c>
      <c r="I1049" s="38"/>
      <c r="J1049" s="39"/>
      <c r="K1049" s="39"/>
      <c r="L1049" s="39"/>
      <c r="M1049" s="39"/>
      <c r="N1049" s="40"/>
      <c r="O1049" s="40"/>
    </row>
    <row r="1050" spans="1:15">
      <c r="A1050" s="28" t="s">
        <v>1365</v>
      </c>
      <c r="B1050" s="37">
        <v>0.183</v>
      </c>
      <c r="C1050" s="37">
        <v>0.173</v>
      </c>
      <c r="D1050" s="37">
        <v>0.987</v>
      </c>
      <c r="E1050" s="37">
        <v>0.916</v>
      </c>
      <c r="F1050">
        <v>0.0849</v>
      </c>
      <c r="G1050">
        <v>19.8564</v>
      </c>
      <c r="I1050" s="38"/>
      <c r="J1050" s="39"/>
      <c r="K1050" s="39"/>
      <c r="L1050" s="39"/>
      <c r="M1050" s="39"/>
      <c r="N1050" s="40"/>
      <c r="O1050" s="40"/>
    </row>
    <row r="1051" spans="1:15">
      <c r="A1051" s="28" t="s">
        <v>1366</v>
      </c>
      <c r="B1051" s="37">
        <v>0.182</v>
      </c>
      <c r="C1051" s="37">
        <v>0.163</v>
      </c>
      <c r="D1051" s="37">
        <v>0.978</v>
      </c>
      <c r="E1051" s="37">
        <v>0.853</v>
      </c>
      <c r="F1051">
        <v>0.0857</v>
      </c>
      <c r="G1051">
        <v>19.9878</v>
      </c>
      <c r="I1051" s="38"/>
      <c r="J1051" s="39"/>
      <c r="K1051" s="39"/>
      <c r="L1051" s="39"/>
      <c r="M1051" s="39"/>
      <c r="N1051" s="40"/>
      <c r="O1051" s="40"/>
    </row>
    <row r="1052" spans="1:15">
      <c r="A1052" s="28" t="s">
        <v>1367</v>
      </c>
      <c r="B1052" s="37">
        <v>0.177</v>
      </c>
      <c r="C1052" s="37">
        <v>0.168</v>
      </c>
      <c r="D1052" s="37">
        <v>0.944</v>
      </c>
      <c r="E1052" s="37">
        <v>0.87</v>
      </c>
      <c r="F1052">
        <v>0.0864</v>
      </c>
      <c r="G1052">
        <v>20.1181</v>
      </c>
      <c r="I1052" s="38"/>
      <c r="J1052" s="39"/>
      <c r="K1052" s="39"/>
      <c r="L1052" s="39"/>
      <c r="M1052" s="39"/>
      <c r="N1052" s="40"/>
      <c r="O1052" s="40"/>
    </row>
    <row r="1053" spans="1:15">
      <c r="A1053" s="28" t="s">
        <v>1368</v>
      </c>
      <c r="B1053" s="37">
        <v>0.172</v>
      </c>
      <c r="C1053" s="37">
        <v>0.159</v>
      </c>
      <c r="D1053" s="37">
        <v>0.91</v>
      </c>
      <c r="E1053" s="37">
        <v>0.818</v>
      </c>
      <c r="F1053">
        <v>0.0878</v>
      </c>
      <c r="G1053">
        <v>20.255</v>
      </c>
      <c r="I1053" s="38"/>
      <c r="J1053" s="39"/>
      <c r="K1053" s="39"/>
      <c r="L1053" s="39"/>
      <c r="M1053" s="39"/>
      <c r="N1053" s="40"/>
      <c r="O1053" s="40"/>
    </row>
    <row r="1054" spans="1:15">
      <c r="A1054" s="28" t="s">
        <v>1369</v>
      </c>
      <c r="B1054" s="37">
        <v>0.175</v>
      </c>
      <c r="C1054" s="37">
        <v>0.166</v>
      </c>
      <c r="D1054" s="37">
        <v>0.921</v>
      </c>
      <c r="E1054" s="37">
        <v>0.849</v>
      </c>
      <c r="F1054">
        <v>0.0889</v>
      </c>
      <c r="G1054">
        <v>20.3012</v>
      </c>
      <c r="I1054" s="38"/>
      <c r="J1054" s="39"/>
      <c r="K1054" s="39"/>
      <c r="L1054" s="39"/>
      <c r="M1054" s="39"/>
      <c r="N1054" s="40"/>
      <c r="O1054" s="40"/>
    </row>
    <row r="1055" spans="1:15">
      <c r="A1055" s="28" t="s">
        <v>1370</v>
      </c>
      <c r="B1055" s="37">
        <v>0.182</v>
      </c>
      <c r="C1055" s="37">
        <v>0.192</v>
      </c>
      <c r="D1055" s="37">
        <v>0.952</v>
      </c>
      <c r="E1055" s="37">
        <v>0.98</v>
      </c>
      <c r="F1055">
        <v>0.0902</v>
      </c>
      <c r="G1055">
        <v>20.3247</v>
      </c>
      <c r="I1055" s="38"/>
      <c r="J1055" s="39"/>
      <c r="K1055" s="39"/>
      <c r="L1055" s="39"/>
      <c r="M1055" s="39"/>
      <c r="N1055" s="40"/>
      <c r="O1055" s="40"/>
    </row>
    <row r="1056" spans="1:15">
      <c r="A1056" s="28" t="s">
        <v>1371</v>
      </c>
      <c r="B1056" s="37">
        <v>0.182</v>
      </c>
      <c r="C1056" s="37">
        <v>0.174</v>
      </c>
      <c r="D1056" s="37">
        <v>0.95</v>
      </c>
      <c r="E1056" s="37">
        <v>0.88</v>
      </c>
      <c r="F1056">
        <v>0.0913</v>
      </c>
      <c r="G1056">
        <v>20.3841</v>
      </c>
      <c r="I1056" s="38"/>
      <c r="J1056" s="39"/>
      <c r="K1056" s="39"/>
      <c r="L1056" s="39"/>
      <c r="M1056" s="39"/>
      <c r="N1056" s="40"/>
      <c r="O1056" s="40"/>
    </row>
    <row r="1057" spans="1:15">
      <c r="A1057" s="28" t="s">
        <v>1372</v>
      </c>
      <c r="B1057" s="37">
        <v>0.181</v>
      </c>
      <c r="C1057" s="37">
        <v>0.179</v>
      </c>
      <c r="D1057" s="37">
        <v>0.939</v>
      </c>
      <c r="E1057" s="37">
        <v>0.906</v>
      </c>
      <c r="F1057">
        <v>0.0925</v>
      </c>
      <c r="G1057">
        <v>20.4433</v>
      </c>
      <c r="I1057" s="38"/>
      <c r="J1057" s="39"/>
      <c r="K1057" s="39"/>
      <c r="L1057" s="39"/>
      <c r="M1057" s="39"/>
      <c r="N1057" s="40"/>
      <c r="O1057" s="40"/>
    </row>
    <row r="1058" spans="1:15">
      <c r="A1058" s="28" t="s">
        <v>1373</v>
      </c>
      <c r="B1058" s="37">
        <v>0.178</v>
      </c>
      <c r="C1058" s="37">
        <v>0.17</v>
      </c>
      <c r="D1058" s="37">
        <v>0.923</v>
      </c>
      <c r="E1058" s="37">
        <v>0.853</v>
      </c>
      <c r="F1058">
        <v>0.0929</v>
      </c>
      <c r="G1058">
        <v>20.4231</v>
      </c>
      <c r="I1058" s="38"/>
      <c r="J1058" s="39"/>
      <c r="K1058" s="39"/>
      <c r="L1058" s="39"/>
      <c r="M1058" s="39"/>
      <c r="N1058" s="40"/>
      <c r="O1058" s="40"/>
    </row>
    <row r="1059" spans="1:15">
      <c r="A1059" s="28" t="s">
        <v>1374</v>
      </c>
      <c r="B1059" s="37">
        <v>0.19</v>
      </c>
      <c r="C1059" s="37">
        <v>0.172</v>
      </c>
      <c r="D1059" s="37">
        <v>0.98</v>
      </c>
      <c r="E1059" s="37">
        <v>0.866</v>
      </c>
      <c r="F1059">
        <v>0.093</v>
      </c>
      <c r="G1059">
        <v>20.3939</v>
      </c>
      <c r="I1059" s="38"/>
      <c r="J1059" s="39"/>
      <c r="K1059" s="39"/>
      <c r="L1059" s="39"/>
      <c r="M1059" s="39"/>
      <c r="N1059" s="40"/>
      <c r="O1059" s="40"/>
    </row>
    <row r="1060" spans="1:15">
      <c r="A1060" s="28" t="s">
        <v>1375</v>
      </c>
      <c r="B1060" s="37">
        <v>0.203</v>
      </c>
      <c r="C1060" s="37">
        <v>0.183</v>
      </c>
      <c r="D1060" s="37">
        <v>1.045</v>
      </c>
      <c r="E1060" s="37">
        <v>0.922</v>
      </c>
      <c r="F1060">
        <v>0.092</v>
      </c>
      <c r="G1060">
        <v>20.4079</v>
      </c>
      <c r="I1060" s="38"/>
      <c r="J1060" s="39"/>
      <c r="K1060" s="39"/>
      <c r="L1060" s="39"/>
      <c r="M1060" s="39"/>
      <c r="N1060" s="40"/>
      <c r="O1060" s="40"/>
    </row>
    <row r="1061" spans="1:15">
      <c r="A1061" s="28" t="s">
        <v>1376</v>
      </c>
      <c r="B1061" s="37">
        <v>0.212</v>
      </c>
      <c r="C1061" s="37">
        <v>0.217</v>
      </c>
      <c r="D1061" s="37">
        <v>1.093</v>
      </c>
      <c r="E1061" s="37">
        <v>1.084</v>
      </c>
      <c r="F1061">
        <v>0.0922</v>
      </c>
      <c r="G1061">
        <v>20.3681</v>
      </c>
      <c r="I1061" s="38"/>
      <c r="J1061" s="39"/>
      <c r="K1061" s="39"/>
      <c r="L1061" s="39"/>
      <c r="M1061" s="39"/>
      <c r="N1061" s="40"/>
      <c r="O1061" s="40"/>
    </row>
    <row r="1062" spans="1:15">
      <c r="A1062" s="28" t="s">
        <v>1377</v>
      </c>
      <c r="B1062" s="37">
        <v>0.212</v>
      </c>
      <c r="C1062" s="37">
        <v>0.23</v>
      </c>
      <c r="D1062" s="37">
        <v>1.089</v>
      </c>
      <c r="E1062" s="37">
        <v>1.151</v>
      </c>
      <c r="F1062">
        <v>0.0921</v>
      </c>
      <c r="G1062">
        <v>20.3567</v>
      </c>
      <c r="I1062" s="38"/>
      <c r="J1062" s="39"/>
      <c r="K1062" s="39"/>
      <c r="L1062" s="39"/>
      <c r="M1062" s="39"/>
      <c r="N1062" s="40"/>
      <c r="O1062" s="40"/>
    </row>
    <row r="1063" spans="1:15">
      <c r="A1063" s="28" t="s">
        <v>1378</v>
      </c>
      <c r="B1063" s="37">
        <v>0.214</v>
      </c>
      <c r="C1063" s="37">
        <v>0.237</v>
      </c>
      <c r="D1063" s="37">
        <v>1.094</v>
      </c>
      <c r="E1063" s="37">
        <v>1.179</v>
      </c>
      <c r="F1063">
        <v>0.0924</v>
      </c>
      <c r="G1063">
        <v>20.3213</v>
      </c>
      <c r="I1063" s="38"/>
      <c r="J1063" s="39"/>
      <c r="K1063" s="39"/>
      <c r="L1063" s="39"/>
      <c r="M1063" s="39"/>
      <c r="N1063" s="40"/>
      <c r="O1063" s="40"/>
    </row>
    <row r="1064" spans="1:15">
      <c r="A1064" s="28" t="s">
        <v>1379</v>
      </c>
      <c r="B1064" s="37">
        <v>0.216</v>
      </c>
      <c r="C1064" s="37">
        <v>0.244</v>
      </c>
      <c r="D1064" s="37">
        <v>1.104</v>
      </c>
      <c r="E1064" s="37">
        <v>1.209</v>
      </c>
      <c r="F1064">
        <v>0.0924</v>
      </c>
      <c r="G1064">
        <v>20.395</v>
      </c>
      <c r="I1064" s="38"/>
      <c r="J1064" s="39"/>
      <c r="K1064" s="39"/>
      <c r="L1064" s="39"/>
      <c r="M1064" s="39"/>
      <c r="N1064" s="40"/>
      <c r="O1064" s="40"/>
    </row>
    <row r="1065" spans="1:15">
      <c r="A1065" s="28" t="s">
        <v>1380</v>
      </c>
      <c r="B1065" s="37">
        <v>0.214</v>
      </c>
      <c r="C1065" s="37">
        <v>0.247</v>
      </c>
      <c r="D1065" s="37">
        <v>1.094</v>
      </c>
      <c r="E1065" s="37">
        <v>1.22</v>
      </c>
      <c r="F1065">
        <v>0.0928</v>
      </c>
      <c r="G1065">
        <v>20.3694</v>
      </c>
      <c r="I1065" s="38"/>
      <c r="J1065" s="39"/>
      <c r="K1065" s="39"/>
      <c r="L1065" s="39"/>
      <c r="M1065" s="39"/>
      <c r="N1065" s="40"/>
      <c r="O1065" s="40"/>
    </row>
    <row r="1066" spans="1:15">
      <c r="A1066" s="28" t="s">
        <v>1381</v>
      </c>
      <c r="B1066" s="37">
        <v>0.217</v>
      </c>
      <c r="C1066" s="37">
        <v>0.26</v>
      </c>
      <c r="D1066" s="37">
        <v>1.105</v>
      </c>
      <c r="E1066" s="37">
        <v>1.282</v>
      </c>
      <c r="F1066">
        <v>0.0931</v>
      </c>
      <c r="G1066">
        <v>20.3416</v>
      </c>
      <c r="I1066" s="38"/>
      <c r="J1066" s="39"/>
      <c r="K1066" s="39"/>
      <c r="L1066" s="39"/>
      <c r="M1066" s="39"/>
      <c r="N1066" s="40"/>
      <c r="O1066" s="40"/>
    </row>
    <row r="1067" spans="1:15">
      <c r="A1067" s="28" t="s">
        <v>1382</v>
      </c>
      <c r="B1067" s="37">
        <v>0.22</v>
      </c>
      <c r="C1067" s="37">
        <v>0.244</v>
      </c>
      <c r="D1067" s="37">
        <v>1.117</v>
      </c>
      <c r="E1067" s="37">
        <v>1.205</v>
      </c>
      <c r="F1067">
        <v>0.0936</v>
      </c>
      <c r="G1067">
        <v>20.3986</v>
      </c>
      <c r="I1067" s="38"/>
      <c r="J1067" s="39"/>
      <c r="K1067" s="39"/>
      <c r="L1067" s="39"/>
      <c r="M1067" s="39"/>
      <c r="N1067" s="40"/>
      <c r="O1067" s="40"/>
    </row>
    <row r="1068" spans="1:15">
      <c r="A1068" s="28" t="s">
        <v>1383</v>
      </c>
      <c r="B1068" s="37">
        <v>0.221</v>
      </c>
      <c r="C1068" s="37">
        <v>0.231</v>
      </c>
      <c r="D1068" s="37">
        <v>1.119</v>
      </c>
      <c r="E1068" s="37">
        <v>1.142</v>
      </c>
      <c r="F1068">
        <v>0.0934</v>
      </c>
      <c r="G1068">
        <v>20.3954</v>
      </c>
      <c r="I1068" s="38"/>
      <c r="J1068" s="39"/>
      <c r="K1068" s="39"/>
      <c r="L1068" s="39"/>
      <c r="M1068" s="39"/>
      <c r="N1068" s="40"/>
      <c r="O1068" s="40"/>
    </row>
    <row r="1069" spans="1:15">
      <c r="A1069" s="28" t="s">
        <v>1384</v>
      </c>
      <c r="B1069" s="37">
        <v>0.224</v>
      </c>
      <c r="C1069" s="37">
        <v>0.243</v>
      </c>
      <c r="D1069" s="37">
        <v>1.132</v>
      </c>
      <c r="E1069" s="37">
        <v>1.193</v>
      </c>
      <c r="F1069">
        <v>0.0934</v>
      </c>
      <c r="G1069">
        <v>20.4839</v>
      </c>
      <c r="I1069" s="38"/>
      <c r="J1069" s="39"/>
      <c r="K1069" s="39"/>
      <c r="L1069" s="39"/>
      <c r="M1069" s="39"/>
      <c r="N1069" s="40"/>
      <c r="O1069" s="40"/>
    </row>
    <row r="1070" spans="1:15">
      <c r="A1070" s="28" t="s">
        <v>1385</v>
      </c>
      <c r="B1070" s="37">
        <v>0.227</v>
      </c>
      <c r="C1070" s="37">
        <v>0.256</v>
      </c>
      <c r="D1070" s="37">
        <v>1.15</v>
      </c>
      <c r="E1070" s="37">
        <v>1.261</v>
      </c>
      <c r="F1070">
        <v>0.0933</v>
      </c>
      <c r="G1070">
        <v>20.5205</v>
      </c>
      <c r="I1070" s="38"/>
      <c r="J1070" s="39"/>
      <c r="K1070" s="39"/>
      <c r="L1070" s="39"/>
      <c r="M1070" s="39"/>
      <c r="N1070" s="40"/>
      <c r="O1070" s="40"/>
    </row>
    <row r="1071" spans="1:15">
      <c r="A1071" s="28" t="s">
        <v>1386</v>
      </c>
      <c r="B1071" s="37">
        <v>0.227</v>
      </c>
      <c r="C1071" s="37">
        <v>0.227</v>
      </c>
      <c r="D1071" s="37">
        <v>1.147</v>
      </c>
      <c r="E1071" s="37">
        <v>1.116</v>
      </c>
      <c r="F1071">
        <v>0.0936</v>
      </c>
      <c r="G1071">
        <v>20.4858</v>
      </c>
      <c r="I1071" s="38"/>
      <c r="J1071" s="39"/>
      <c r="K1071" s="39"/>
      <c r="L1071" s="39"/>
      <c r="M1071" s="39"/>
      <c r="N1071" s="40"/>
      <c r="O1071" s="40"/>
    </row>
    <row r="1072" spans="1:15">
      <c r="A1072" s="28" t="s">
        <v>1387</v>
      </c>
      <c r="B1072" s="37">
        <v>0.228</v>
      </c>
      <c r="C1072" s="37">
        <v>0.229</v>
      </c>
      <c r="D1072" s="37">
        <v>1.149</v>
      </c>
      <c r="E1072" s="37">
        <v>1.135</v>
      </c>
      <c r="F1072">
        <v>0.0936</v>
      </c>
      <c r="G1072">
        <v>20.4323</v>
      </c>
      <c r="I1072" s="38"/>
      <c r="J1072" s="39"/>
      <c r="K1072" s="39"/>
      <c r="L1072" s="39"/>
      <c r="M1072" s="39"/>
      <c r="N1072" s="40"/>
      <c r="O1072" s="40"/>
    </row>
    <row r="1073" spans="1:15">
      <c r="A1073" s="28" t="s">
        <v>1388</v>
      </c>
      <c r="B1073" s="37">
        <v>0.233</v>
      </c>
      <c r="C1073" s="37">
        <v>0.232</v>
      </c>
      <c r="D1073" s="37">
        <v>1.176</v>
      </c>
      <c r="E1073" s="37">
        <v>1.145</v>
      </c>
      <c r="F1073">
        <v>0.0932</v>
      </c>
      <c r="G1073">
        <v>20.4533</v>
      </c>
      <c r="I1073" s="38"/>
      <c r="J1073" s="39"/>
      <c r="K1073" s="39"/>
      <c r="L1073" s="39"/>
      <c r="M1073" s="39"/>
      <c r="N1073" s="40"/>
      <c r="O1073" s="40"/>
    </row>
    <row r="1074" spans="1:15">
      <c r="A1074" s="28" t="s">
        <v>1389</v>
      </c>
      <c r="B1074" s="37">
        <v>0.236</v>
      </c>
      <c r="C1074" s="37">
        <v>0.236</v>
      </c>
      <c r="D1074" s="37">
        <v>1.188</v>
      </c>
      <c r="E1074" s="37">
        <v>1.165</v>
      </c>
      <c r="F1074">
        <v>0.0935</v>
      </c>
      <c r="G1074">
        <v>20.4009</v>
      </c>
      <c r="I1074" s="38"/>
      <c r="J1074" s="39"/>
      <c r="K1074" s="39"/>
      <c r="L1074" s="39"/>
      <c r="M1074" s="39"/>
      <c r="N1074" s="40"/>
      <c r="O1074" s="40"/>
    </row>
    <row r="1075" spans="1:15">
      <c r="A1075" s="28" t="s">
        <v>1390</v>
      </c>
      <c r="B1075" s="37">
        <v>0.237</v>
      </c>
      <c r="C1075" s="37">
        <v>0.245</v>
      </c>
      <c r="D1075" s="37">
        <v>1.192</v>
      </c>
      <c r="E1075" s="37">
        <v>1.206</v>
      </c>
      <c r="F1075">
        <v>0.0934</v>
      </c>
      <c r="G1075">
        <v>20.3276</v>
      </c>
      <c r="I1075" s="38"/>
      <c r="J1075" s="39"/>
      <c r="K1075" s="39"/>
      <c r="L1075" s="39"/>
      <c r="M1075" s="39"/>
      <c r="N1075" s="40"/>
      <c r="O1075" s="40"/>
    </row>
    <row r="1076" spans="1:15">
      <c r="A1076" s="28" t="s">
        <v>1391</v>
      </c>
      <c r="B1076" s="37">
        <v>0.236</v>
      </c>
      <c r="C1076" s="37">
        <v>0.25</v>
      </c>
      <c r="D1076" s="37">
        <v>1.183</v>
      </c>
      <c r="E1076" s="37">
        <v>1.227</v>
      </c>
      <c r="F1076">
        <v>0.0936</v>
      </c>
      <c r="G1076">
        <v>20.3411</v>
      </c>
      <c r="I1076" s="38"/>
      <c r="J1076" s="39"/>
      <c r="K1076" s="39"/>
      <c r="L1076" s="39"/>
      <c r="M1076" s="39"/>
      <c r="N1076" s="40"/>
      <c r="O1076" s="40"/>
    </row>
    <row r="1077" spans="1:15">
      <c r="A1077" s="28" t="s">
        <v>1392</v>
      </c>
      <c r="B1077" s="37">
        <v>0.238</v>
      </c>
      <c r="C1077" s="37">
        <v>0.255</v>
      </c>
      <c r="D1077" s="37">
        <v>1.19</v>
      </c>
      <c r="E1077" s="37">
        <v>1.253</v>
      </c>
      <c r="F1077">
        <v>0.0937</v>
      </c>
      <c r="G1077">
        <v>20.3824</v>
      </c>
      <c r="I1077" s="38"/>
      <c r="J1077" s="39"/>
      <c r="K1077" s="39"/>
      <c r="L1077" s="39"/>
      <c r="M1077" s="39"/>
      <c r="N1077" s="40"/>
      <c r="O1077" s="40"/>
    </row>
    <row r="1078" spans="1:15">
      <c r="A1078" s="28" t="s">
        <v>1393</v>
      </c>
      <c r="B1078" s="37">
        <v>0.242</v>
      </c>
      <c r="C1078" s="37">
        <v>0.258</v>
      </c>
      <c r="D1078" s="37">
        <v>1.21</v>
      </c>
      <c r="E1078" s="37">
        <v>1.265</v>
      </c>
      <c r="F1078">
        <v>0.0935</v>
      </c>
      <c r="G1078">
        <v>20.3992</v>
      </c>
      <c r="I1078" s="38"/>
      <c r="J1078" s="39"/>
      <c r="K1078" s="39"/>
      <c r="L1078" s="39"/>
      <c r="M1078" s="39"/>
      <c r="N1078" s="40"/>
      <c r="O1078" s="40"/>
    </row>
    <row r="1079" spans="1:15">
      <c r="A1079" s="28" t="s">
        <v>1394</v>
      </c>
      <c r="B1079" s="37">
        <v>0.244</v>
      </c>
      <c r="C1079" s="37">
        <v>0.262</v>
      </c>
      <c r="D1079" s="37">
        <v>1.219</v>
      </c>
      <c r="E1079" s="37">
        <v>1.286</v>
      </c>
      <c r="F1079">
        <v>0.0933</v>
      </c>
      <c r="G1079">
        <v>20.3363</v>
      </c>
      <c r="I1079" s="38"/>
      <c r="J1079" s="39"/>
      <c r="K1079" s="39"/>
      <c r="L1079" s="39"/>
      <c r="M1079" s="39"/>
      <c r="N1079" s="40"/>
      <c r="O1079" s="40"/>
    </row>
    <row r="1080" spans="1:15">
      <c r="A1080" s="28" t="s">
        <v>1395</v>
      </c>
      <c r="B1080" s="37">
        <v>0.245</v>
      </c>
      <c r="C1080" s="37">
        <v>0.225</v>
      </c>
      <c r="D1080" s="37">
        <v>1.222</v>
      </c>
      <c r="E1080" s="37">
        <v>1.1</v>
      </c>
      <c r="F1080">
        <v>0.0935</v>
      </c>
      <c r="G1080">
        <v>20.3169</v>
      </c>
      <c r="I1080" s="38"/>
      <c r="J1080" s="39"/>
      <c r="K1080" s="39"/>
      <c r="L1080" s="39"/>
      <c r="M1080" s="39"/>
      <c r="N1080" s="40"/>
      <c r="O1080" s="40"/>
    </row>
    <row r="1081" spans="1:15">
      <c r="A1081" s="28" t="s">
        <v>1396</v>
      </c>
      <c r="B1081" s="37">
        <v>0.246</v>
      </c>
      <c r="C1081" s="37">
        <v>0.219</v>
      </c>
      <c r="D1081" s="37">
        <v>1.222</v>
      </c>
      <c r="E1081" s="37">
        <v>1.069</v>
      </c>
      <c r="F1081">
        <v>0.0932</v>
      </c>
      <c r="G1081">
        <v>20.3346</v>
      </c>
      <c r="I1081" s="38"/>
      <c r="J1081" s="39"/>
      <c r="K1081" s="39"/>
      <c r="L1081" s="39"/>
      <c r="M1081" s="39"/>
      <c r="N1081" s="40"/>
      <c r="O1081" s="40"/>
    </row>
    <row r="1082" spans="1:15">
      <c r="A1082" s="28" t="s">
        <v>1397</v>
      </c>
      <c r="B1082" s="37">
        <v>0.25</v>
      </c>
      <c r="C1082" s="37">
        <v>0.222</v>
      </c>
      <c r="D1082" s="37">
        <v>1.242</v>
      </c>
      <c r="E1082" s="37">
        <v>1.083</v>
      </c>
      <c r="F1082">
        <v>0.0934</v>
      </c>
      <c r="G1082">
        <v>20.3752</v>
      </c>
      <c r="I1082" s="38"/>
      <c r="J1082" s="39"/>
      <c r="K1082" s="39"/>
      <c r="L1082" s="39"/>
      <c r="M1082" s="39"/>
      <c r="N1082" s="40"/>
      <c r="O1082" s="40"/>
    </row>
    <row r="1083" spans="1:15">
      <c r="A1083" s="28" t="s">
        <v>1398</v>
      </c>
      <c r="B1083" s="37">
        <v>0.251</v>
      </c>
      <c r="C1083" s="37">
        <v>0.229</v>
      </c>
      <c r="D1083" s="37">
        <v>1.247</v>
      </c>
      <c r="E1083" s="37">
        <v>1.113</v>
      </c>
      <c r="F1083">
        <v>0.0934</v>
      </c>
      <c r="G1083">
        <v>20.3611</v>
      </c>
      <c r="I1083" s="38"/>
      <c r="J1083" s="39"/>
      <c r="K1083" s="39"/>
      <c r="L1083" s="39"/>
      <c r="M1083" s="39"/>
      <c r="N1083" s="40"/>
      <c r="O1083" s="40"/>
    </row>
    <row r="1084" spans="1:15">
      <c r="A1084" s="28" t="s">
        <v>1399</v>
      </c>
      <c r="B1084" s="37">
        <v>0.25</v>
      </c>
      <c r="C1084" s="37">
        <v>0.266</v>
      </c>
      <c r="D1084" s="37">
        <v>1.242</v>
      </c>
      <c r="E1084" s="37">
        <v>1.297</v>
      </c>
      <c r="F1084">
        <v>0.0935</v>
      </c>
      <c r="G1084">
        <v>20.3696</v>
      </c>
      <c r="I1084" s="38"/>
      <c r="J1084" s="39"/>
      <c r="K1084" s="39"/>
      <c r="L1084" s="39"/>
      <c r="M1084" s="39"/>
      <c r="N1084" s="40"/>
      <c r="O1084" s="40"/>
    </row>
    <row r="1085" spans="1:15">
      <c r="A1085" s="28" t="s">
        <v>1400</v>
      </c>
      <c r="B1085" s="37">
        <v>0.252</v>
      </c>
      <c r="C1085" s="37">
        <v>0.263</v>
      </c>
      <c r="D1085" s="37">
        <v>1.247</v>
      </c>
      <c r="E1085" s="37">
        <v>1.279</v>
      </c>
      <c r="F1085">
        <v>0.0939</v>
      </c>
      <c r="G1085">
        <v>20.3013</v>
      </c>
      <c r="I1085" s="38"/>
      <c r="J1085" s="39"/>
      <c r="K1085" s="39"/>
      <c r="L1085" s="39"/>
      <c r="M1085" s="39"/>
      <c r="N1085" s="40"/>
      <c r="O1085" s="40"/>
    </row>
    <row r="1086" spans="1:15">
      <c r="A1086" s="28" t="s">
        <v>1401</v>
      </c>
      <c r="B1086" s="37">
        <v>0.249</v>
      </c>
      <c r="C1086" s="37">
        <v>0.263</v>
      </c>
      <c r="D1086" s="37">
        <v>1.235</v>
      </c>
      <c r="E1086" s="37">
        <v>1.278</v>
      </c>
      <c r="F1086">
        <v>0.0945</v>
      </c>
      <c r="G1086">
        <v>20.3215</v>
      </c>
      <c r="I1086" s="38"/>
      <c r="J1086" s="39"/>
      <c r="K1086" s="39"/>
      <c r="L1086" s="39"/>
      <c r="M1086" s="39"/>
      <c r="N1086" s="40"/>
      <c r="O1086" s="40"/>
    </row>
    <row r="1087" spans="1:15">
      <c r="A1087" s="28" t="s">
        <v>1402</v>
      </c>
      <c r="B1087" s="37">
        <v>0.25</v>
      </c>
      <c r="C1087" s="37">
        <v>0.263</v>
      </c>
      <c r="D1087" s="37">
        <v>1.236</v>
      </c>
      <c r="E1087" s="37">
        <v>1.27</v>
      </c>
      <c r="F1087">
        <v>0.0947</v>
      </c>
      <c r="G1087">
        <v>20.2969</v>
      </c>
      <c r="I1087" s="38"/>
      <c r="J1087" s="39"/>
      <c r="K1087" s="39"/>
      <c r="L1087" s="39"/>
      <c r="M1087" s="39"/>
      <c r="N1087" s="40"/>
      <c r="O1087" s="40"/>
    </row>
    <row r="1088" spans="1:15">
      <c r="A1088" s="28" t="s">
        <v>1403</v>
      </c>
      <c r="B1088" s="37">
        <v>0.253</v>
      </c>
      <c r="C1088" s="37">
        <v>0.256</v>
      </c>
      <c r="D1088" s="37">
        <v>1.254</v>
      </c>
      <c r="E1088" s="37">
        <v>1.234</v>
      </c>
      <c r="F1088">
        <v>0.0948</v>
      </c>
      <c r="G1088">
        <v>20.2945</v>
      </c>
      <c r="I1088" s="38"/>
      <c r="J1088" s="39"/>
      <c r="K1088" s="39"/>
      <c r="L1088" s="39"/>
      <c r="M1088" s="39"/>
      <c r="N1088" s="40"/>
      <c r="O1088" s="40"/>
    </row>
    <row r="1089" spans="1:15">
      <c r="A1089" s="28" t="s">
        <v>1404</v>
      </c>
      <c r="B1089" s="37">
        <v>0.256</v>
      </c>
      <c r="C1089" s="37">
        <v>0.264</v>
      </c>
      <c r="D1089" s="37">
        <v>1.266</v>
      </c>
      <c r="E1089" s="37">
        <v>1.269</v>
      </c>
      <c r="F1089">
        <v>0.0953</v>
      </c>
      <c r="G1089">
        <v>20.2164</v>
      </c>
      <c r="I1089" s="38"/>
      <c r="J1089" s="39"/>
      <c r="K1089" s="39"/>
      <c r="L1089" s="39"/>
      <c r="M1089" s="39"/>
      <c r="N1089" s="40"/>
      <c r="O1089" s="40"/>
    </row>
    <row r="1090" spans="1:15">
      <c r="A1090" s="28" t="s">
        <v>1405</v>
      </c>
      <c r="B1090" s="37">
        <v>0.257</v>
      </c>
      <c r="C1090" s="37">
        <v>0.273</v>
      </c>
      <c r="D1090" s="37">
        <v>1.271</v>
      </c>
      <c r="E1090" s="37">
        <v>1.315</v>
      </c>
      <c r="F1090">
        <v>0.0949</v>
      </c>
      <c r="G1090">
        <v>20.2699</v>
      </c>
      <c r="I1090" s="38"/>
      <c r="J1090" s="39"/>
      <c r="K1090" s="39"/>
      <c r="L1090" s="39"/>
      <c r="M1090" s="39"/>
      <c r="N1090" s="40"/>
      <c r="O1090" s="40"/>
    </row>
    <row r="1091" spans="1:15">
      <c r="A1091" s="28" t="s">
        <v>1406</v>
      </c>
      <c r="B1091" s="37">
        <v>0.26</v>
      </c>
      <c r="C1091" s="37">
        <v>0.273</v>
      </c>
      <c r="D1091" s="37">
        <v>1.284</v>
      </c>
      <c r="E1091" s="37">
        <v>1.316</v>
      </c>
      <c r="F1091">
        <v>0.0953</v>
      </c>
      <c r="G1091">
        <v>20.292</v>
      </c>
      <c r="I1091" s="38"/>
      <c r="J1091" s="39"/>
      <c r="K1091" s="39"/>
      <c r="L1091" s="39"/>
      <c r="M1091" s="39"/>
      <c r="N1091" s="40"/>
      <c r="O1091" s="40"/>
    </row>
    <row r="1092" spans="1:15">
      <c r="A1092" s="28" t="s">
        <v>1407</v>
      </c>
      <c r="B1092" s="37">
        <v>0.26</v>
      </c>
      <c r="C1092" s="37">
        <v>0.275</v>
      </c>
      <c r="D1092" s="37">
        <v>1.281</v>
      </c>
      <c r="E1092" s="37">
        <v>1.323</v>
      </c>
      <c r="F1092">
        <v>0.0958</v>
      </c>
      <c r="G1092">
        <v>20.2818</v>
      </c>
      <c r="I1092" s="38"/>
      <c r="J1092" s="39"/>
      <c r="K1092" s="39"/>
      <c r="L1092" s="39"/>
      <c r="M1092" s="39"/>
      <c r="N1092" s="40"/>
      <c r="O1092" s="40"/>
    </row>
    <row r="1093" spans="1:15">
      <c r="A1093" s="28" t="s">
        <v>1408</v>
      </c>
      <c r="B1093" s="37">
        <v>0.261</v>
      </c>
      <c r="C1093" s="37">
        <v>0.272</v>
      </c>
      <c r="D1093" s="37">
        <v>1.286</v>
      </c>
      <c r="E1093" s="37">
        <v>1.309</v>
      </c>
      <c r="F1093">
        <v>0.096</v>
      </c>
      <c r="G1093">
        <v>20.2007</v>
      </c>
      <c r="I1093" s="38"/>
      <c r="J1093" s="39"/>
      <c r="K1093" s="39"/>
      <c r="L1093" s="39"/>
      <c r="M1093" s="39"/>
      <c r="N1093" s="40"/>
      <c r="O1093" s="40"/>
    </row>
    <row r="1094" spans="1:15">
      <c r="A1094" s="28" t="s">
        <v>1409</v>
      </c>
      <c r="B1094" s="37">
        <v>0.259</v>
      </c>
      <c r="C1094" s="37">
        <v>0.279</v>
      </c>
      <c r="D1094" s="37">
        <v>1.278</v>
      </c>
      <c r="E1094" s="37">
        <v>1.341</v>
      </c>
      <c r="F1094">
        <v>0.0959</v>
      </c>
      <c r="G1094">
        <v>20.2236</v>
      </c>
      <c r="I1094" s="38"/>
      <c r="J1094" s="39"/>
      <c r="K1094" s="39"/>
      <c r="L1094" s="39"/>
      <c r="M1094" s="39"/>
      <c r="N1094" s="40"/>
      <c r="O1094" s="40"/>
    </row>
    <row r="1095" spans="1:15">
      <c r="A1095" s="28" t="s">
        <v>1410</v>
      </c>
      <c r="B1095" s="37">
        <v>0.261</v>
      </c>
      <c r="C1095" s="37">
        <v>0.272</v>
      </c>
      <c r="D1095" s="37">
        <v>1.289</v>
      </c>
      <c r="E1095" s="37">
        <v>1.308</v>
      </c>
      <c r="F1095">
        <v>0.0959</v>
      </c>
      <c r="G1095">
        <v>20.2118</v>
      </c>
      <c r="I1095" s="38"/>
      <c r="J1095" s="39"/>
      <c r="K1095" s="39"/>
      <c r="L1095" s="39"/>
      <c r="M1095" s="39"/>
      <c r="N1095" s="40"/>
      <c r="O1095" s="40"/>
    </row>
    <row r="1096" spans="1:15">
      <c r="A1096" s="28" t="s">
        <v>1411</v>
      </c>
      <c r="B1096" s="37">
        <v>0.258</v>
      </c>
      <c r="C1096" s="37">
        <v>0.278</v>
      </c>
      <c r="D1096" s="37">
        <v>1.273</v>
      </c>
      <c r="E1096" s="37">
        <v>1.334</v>
      </c>
      <c r="F1096">
        <v>0.096</v>
      </c>
      <c r="G1096">
        <v>20.1849</v>
      </c>
      <c r="I1096" s="38"/>
      <c r="J1096" s="39"/>
      <c r="K1096" s="39"/>
      <c r="L1096" s="39"/>
      <c r="M1096" s="39"/>
      <c r="N1096" s="40"/>
      <c r="O1096" s="40"/>
    </row>
    <row r="1097" spans="1:15">
      <c r="A1097" s="28" t="s">
        <v>1412</v>
      </c>
      <c r="B1097" s="37">
        <v>0.261</v>
      </c>
      <c r="C1097" s="37">
        <v>0.27</v>
      </c>
      <c r="D1097" s="37">
        <v>1.289</v>
      </c>
      <c r="E1097" s="37">
        <v>1.297</v>
      </c>
      <c r="F1097">
        <v>0.0957</v>
      </c>
      <c r="G1097">
        <v>20.1399</v>
      </c>
      <c r="I1097" s="38"/>
      <c r="J1097" s="39"/>
      <c r="K1097" s="39"/>
      <c r="L1097" s="39"/>
      <c r="M1097" s="39"/>
      <c r="N1097" s="40"/>
      <c r="O1097" s="40"/>
    </row>
    <row r="1098" spans="1:15">
      <c r="A1098" s="28" t="s">
        <v>1413</v>
      </c>
      <c r="B1098" s="37">
        <v>0.259</v>
      </c>
      <c r="C1098" s="37">
        <v>0.264</v>
      </c>
      <c r="D1098" s="37">
        <v>1.276</v>
      </c>
      <c r="E1098" s="37">
        <v>1.264</v>
      </c>
      <c r="F1098">
        <v>0.0953</v>
      </c>
      <c r="G1098">
        <v>20.1385</v>
      </c>
      <c r="I1098" s="38"/>
      <c r="J1098" s="39"/>
      <c r="K1098" s="39"/>
      <c r="L1098" s="39"/>
      <c r="M1098" s="39"/>
      <c r="N1098" s="40"/>
      <c r="O1098" s="40"/>
    </row>
    <row r="1099" spans="1:15">
      <c r="A1099" s="28" t="s">
        <v>1414</v>
      </c>
      <c r="B1099" s="37">
        <v>0.259</v>
      </c>
      <c r="C1099" s="37">
        <v>0.297</v>
      </c>
      <c r="D1099" s="37">
        <v>1.276</v>
      </c>
      <c r="E1099" s="37">
        <v>1.415</v>
      </c>
      <c r="F1099">
        <v>0.0948</v>
      </c>
      <c r="G1099">
        <v>20.1109</v>
      </c>
      <c r="I1099" s="38"/>
      <c r="J1099" s="39"/>
      <c r="K1099" s="39"/>
      <c r="L1099" s="39"/>
      <c r="M1099" s="39"/>
      <c r="N1099" s="40"/>
      <c r="O1099" s="40"/>
    </row>
    <row r="1100" spans="1:15">
      <c r="A1100" s="28" t="s">
        <v>1415</v>
      </c>
      <c r="B1100" s="37">
        <v>0.256</v>
      </c>
      <c r="C1100" s="37">
        <v>0.311</v>
      </c>
      <c r="D1100" s="37">
        <v>1.264</v>
      </c>
      <c r="E1100" s="37">
        <v>1.49</v>
      </c>
      <c r="F1100">
        <v>0.0944</v>
      </c>
      <c r="G1100">
        <v>20.1305</v>
      </c>
      <c r="I1100" s="38"/>
      <c r="J1100" s="39"/>
      <c r="K1100" s="39"/>
      <c r="L1100" s="39"/>
      <c r="M1100" s="39"/>
      <c r="N1100" s="40"/>
      <c r="O1100" s="40"/>
    </row>
    <row r="1101" spans="1:15">
      <c r="A1101" s="28" t="s">
        <v>1416</v>
      </c>
      <c r="B1101" s="37">
        <v>0.245</v>
      </c>
      <c r="C1101" s="37">
        <v>0.318</v>
      </c>
      <c r="D1101" s="37">
        <v>1.206</v>
      </c>
      <c r="E1101" s="37">
        <v>1.525</v>
      </c>
      <c r="F1101">
        <v>0.0936</v>
      </c>
      <c r="G1101">
        <v>20.0399</v>
      </c>
      <c r="I1101" s="38"/>
      <c r="J1101" s="39"/>
      <c r="K1101" s="39"/>
      <c r="L1101" s="39"/>
      <c r="M1101" s="39"/>
      <c r="N1101" s="40"/>
      <c r="O1101" s="40"/>
    </row>
    <row r="1102" spans="1:15">
      <c r="A1102" s="28" t="s">
        <v>1417</v>
      </c>
      <c r="B1102" s="37">
        <v>0.23</v>
      </c>
      <c r="C1102" s="37">
        <v>0.298</v>
      </c>
      <c r="D1102" s="37">
        <v>1.134</v>
      </c>
      <c r="E1102" s="37">
        <v>1.431</v>
      </c>
      <c r="F1102">
        <v>0.0928</v>
      </c>
      <c r="G1102">
        <v>19.9951</v>
      </c>
      <c r="I1102" s="38"/>
      <c r="J1102" s="39"/>
      <c r="K1102" s="39"/>
      <c r="L1102" s="39"/>
      <c r="M1102" s="39"/>
      <c r="N1102" s="40"/>
      <c r="O1102" s="40"/>
    </row>
    <row r="1103" spans="1:15">
      <c r="A1103" s="28" t="s">
        <v>1418</v>
      </c>
      <c r="B1103" s="37">
        <v>0.211</v>
      </c>
      <c r="C1103" s="37">
        <v>0.29</v>
      </c>
      <c r="D1103" s="37">
        <v>1.043</v>
      </c>
      <c r="E1103" s="37">
        <v>1.394</v>
      </c>
      <c r="F1103">
        <v>0.0922</v>
      </c>
      <c r="G1103">
        <v>19.9412</v>
      </c>
      <c r="I1103" s="38"/>
      <c r="J1103" s="39"/>
      <c r="K1103" s="39"/>
      <c r="L1103" s="39"/>
      <c r="M1103" s="39"/>
      <c r="N1103" s="40"/>
      <c r="O1103" s="40"/>
    </row>
    <row r="1104" spans="1:15">
      <c r="A1104" s="28" t="s">
        <v>1419</v>
      </c>
      <c r="B1104" s="37">
        <v>0.192</v>
      </c>
      <c r="C1104" s="37">
        <v>0.245</v>
      </c>
      <c r="D1104" s="37">
        <v>0.951</v>
      </c>
      <c r="E1104" s="37">
        <v>1.18</v>
      </c>
      <c r="F1104">
        <v>0.0923</v>
      </c>
      <c r="G1104">
        <v>19.9459</v>
      </c>
      <c r="I1104" s="38"/>
      <c r="J1104" s="39"/>
      <c r="K1104" s="39"/>
      <c r="L1104" s="39"/>
      <c r="M1104" s="39"/>
      <c r="N1104" s="40"/>
      <c r="O1104" s="40"/>
    </row>
    <row r="1105" spans="1:15">
      <c r="A1105" s="28" t="s">
        <v>1420</v>
      </c>
      <c r="B1105" s="37">
        <v>0.177</v>
      </c>
      <c r="C1105" s="37">
        <v>0.213</v>
      </c>
      <c r="D1105" s="37">
        <v>0.876</v>
      </c>
      <c r="E1105" s="37">
        <v>1.024</v>
      </c>
      <c r="F1105">
        <v>0.0921</v>
      </c>
      <c r="G1105">
        <v>19.9444</v>
      </c>
      <c r="I1105" s="38"/>
      <c r="J1105" s="39"/>
      <c r="K1105" s="39"/>
      <c r="L1105" s="39"/>
      <c r="M1105" s="39"/>
      <c r="N1105" s="40"/>
      <c r="O1105" s="40"/>
    </row>
    <row r="1106" spans="1:15">
      <c r="A1106" s="28" t="s">
        <v>1421</v>
      </c>
      <c r="B1106" s="37">
        <v>0.165</v>
      </c>
      <c r="C1106" s="37">
        <v>0.141</v>
      </c>
      <c r="D1106" s="37">
        <v>0.817</v>
      </c>
      <c r="E1106" s="37">
        <v>0.681</v>
      </c>
      <c r="F1106">
        <v>0.0921</v>
      </c>
      <c r="G1106">
        <v>19.9055</v>
      </c>
      <c r="I1106" s="38"/>
      <c r="J1106" s="39"/>
      <c r="K1106" s="39"/>
      <c r="L1106" s="39"/>
      <c r="M1106" s="39"/>
      <c r="N1106" s="40"/>
      <c r="O1106" s="40"/>
    </row>
    <row r="1107" spans="1:15">
      <c r="A1107" s="28" t="s">
        <v>1422</v>
      </c>
      <c r="B1107" s="37">
        <v>0.158</v>
      </c>
      <c r="C1107" s="37">
        <v>0.147</v>
      </c>
      <c r="D1107" s="37">
        <v>0.781</v>
      </c>
      <c r="E1107" s="37">
        <v>0.711</v>
      </c>
      <c r="F1107">
        <v>0.092</v>
      </c>
      <c r="G1107">
        <v>19.8997</v>
      </c>
      <c r="I1107" s="38"/>
      <c r="J1107" s="39"/>
      <c r="K1107" s="39"/>
      <c r="L1107" s="39"/>
      <c r="M1107" s="39"/>
      <c r="N1107" s="40"/>
      <c r="O1107" s="40"/>
    </row>
    <row r="1108" spans="1:15">
      <c r="A1108" s="28" t="s">
        <v>1423</v>
      </c>
      <c r="B1108" s="37">
        <v>0.156</v>
      </c>
      <c r="C1108" s="37">
        <v>0.128</v>
      </c>
      <c r="D1108" s="37">
        <v>0.77</v>
      </c>
      <c r="E1108" s="37">
        <v>0.621</v>
      </c>
      <c r="F1108">
        <v>0.0926</v>
      </c>
      <c r="G1108">
        <v>19.9827</v>
      </c>
      <c r="I1108" s="38"/>
      <c r="J1108" s="39"/>
      <c r="K1108" s="39"/>
      <c r="L1108" s="39"/>
      <c r="M1108" s="39"/>
      <c r="N1108" s="40"/>
      <c r="O1108" s="40"/>
    </row>
    <row r="1109" spans="1:15">
      <c r="A1109" s="28" t="s">
        <v>1424</v>
      </c>
      <c r="B1109" s="37">
        <v>0.151</v>
      </c>
      <c r="C1109" s="37">
        <v>0.113</v>
      </c>
      <c r="D1109" s="37">
        <v>0.746</v>
      </c>
      <c r="E1109" s="37">
        <v>0.546</v>
      </c>
      <c r="F1109">
        <v>0.093</v>
      </c>
      <c r="G1109">
        <v>19.8816</v>
      </c>
      <c r="I1109" s="38"/>
      <c r="J1109" s="39"/>
      <c r="K1109" s="39"/>
      <c r="L1109" s="39"/>
      <c r="M1109" s="39"/>
      <c r="N1109" s="40"/>
      <c r="O1109" s="40"/>
    </row>
    <row r="1110" spans="1:15">
      <c r="A1110" s="28" t="s">
        <v>1425</v>
      </c>
      <c r="B1110" s="37">
        <v>0.148</v>
      </c>
      <c r="C1110" s="37">
        <v>0.104</v>
      </c>
      <c r="D1110" s="37">
        <v>0.733</v>
      </c>
      <c r="E1110" s="37">
        <v>0.503</v>
      </c>
      <c r="F1110">
        <v>0.0932</v>
      </c>
      <c r="G1110">
        <v>19.7954</v>
      </c>
      <c r="I1110" s="38"/>
      <c r="J1110" s="39"/>
      <c r="K1110" s="39"/>
      <c r="L1110" s="39"/>
      <c r="M1110" s="39"/>
      <c r="N1110" s="40"/>
      <c r="O1110" s="40"/>
    </row>
    <row r="1111" spans="1:15">
      <c r="A1111" s="28" t="s">
        <v>1426</v>
      </c>
      <c r="B1111" s="37">
        <v>0.152</v>
      </c>
      <c r="C1111" s="37">
        <v>0.105</v>
      </c>
      <c r="D1111" s="37">
        <v>0.753</v>
      </c>
      <c r="E1111" s="37">
        <v>0.508</v>
      </c>
      <c r="F1111">
        <v>0.0933</v>
      </c>
      <c r="G1111">
        <v>19.6765</v>
      </c>
      <c r="I1111" s="38"/>
      <c r="J1111" s="39"/>
      <c r="K1111" s="39"/>
      <c r="L1111" s="39"/>
      <c r="M1111" s="39"/>
      <c r="N1111" s="40"/>
      <c r="O1111" s="40"/>
    </row>
    <row r="1112" spans="1:15">
      <c r="A1112" s="28" t="s">
        <v>1427</v>
      </c>
      <c r="B1112" s="37">
        <v>0.144</v>
      </c>
      <c r="C1112" s="37">
        <v>0.099</v>
      </c>
      <c r="D1112" s="37">
        <v>0.715</v>
      </c>
      <c r="E1112" s="37">
        <v>0.483</v>
      </c>
      <c r="F1112">
        <v>0.0935</v>
      </c>
      <c r="G1112">
        <v>19.6843</v>
      </c>
      <c r="I1112" s="38"/>
      <c r="J1112" s="39"/>
      <c r="K1112" s="39"/>
      <c r="L1112" s="39"/>
      <c r="M1112" s="39"/>
      <c r="N1112" s="40"/>
      <c r="O1112" s="40"/>
    </row>
    <row r="1113" spans="1:15">
      <c r="A1113" s="28" t="s">
        <v>1428</v>
      </c>
      <c r="B1113" s="37">
        <v>0.146</v>
      </c>
      <c r="C1113" s="37">
        <v>0.105</v>
      </c>
      <c r="D1113" s="37">
        <v>0.722</v>
      </c>
      <c r="E1113" s="37">
        <v>0.514</v>
      </c>
      <c r="F1113">
        <v>0.0941</v>
      </c>
      <c r="G1113">
        <v>19.6732</v>
      </c>
      <c r="I1113" s="38"/>
      <c r="J1113" s="39"/>
      <c r="K1113" s="39"/>
      <c r="L1113" s="39"/>
      <c r="M1113" s="39"/>
      <c r="N1113" s="40"/>
      <c r="O1113" s="40"/>
    </row>
    <row r="1114" spans="1:15">
      <c r="A1114" s="28" t="s">
        <v>1429</v>
      </c>
      <c r="B1114" s="37">
        <v>0.144</v>
      </c>
      <c r="C1114" s="37">
        <v>0.106</v>
      </c>
      <c r="D1114" s="37">
        <v>0.713</v>
      </c>
      <c r="E1114" s="37">
        <v>0.515</v>
      </c>
      <c r="F1114">
        <v>0.0937</v>
      </c>
      <c r="G1114">
        <v>19.6841</v>
      </c>
      <c r="I1114" s="38"/>
      <c r="J1114" s="39"/>
      <c r="K1114" s="39"/>
      <c r="L1114" s="39"/>
      <c r="M1114" s="39"/>
      <c r="N1114" s="40"/>
      <c r="O1114" s="40"/>
    </row>
    <row r="1115" spans="1:15">
      <c r="A1115" s="28" t="s">
        <v>1430</v>
      </c>
      <c r="B1115" s="37">
        <v>0.136</v>
      </c>
      <c r="C1115" s="37">
        <v>0.125</v>
      </c>
      <c r="D1115" s="37">
        <v>0.676</v>
      </c>
      <c r="E1115" s="37">
        <v>0.611</v>
      </c>
      <c r="F1115">
        <v>0.0934</v>
      </c>
      <c r="G1115">
        <v>19.6339</v>
      </c>
      <c r="I1115" s="38"/>
      <c r="J1115" s="39"/>
      <c r="K1115" s="39"/>
      <c r="L1115" s="39"/>
      <c r="M1115" s="39"/>
      <c r="N1115" s="40"/>
      <c r="O1115" s="40"/>
    </row>
    <row r="1116" spans="1:15">
      <c r="A1116" s="28" t="s">
        <v>1431</v>
      </c>
      <c r="B1116" s="37">
        <v>0.131</v>
      </c>
      <c r="C1116" s="37">
        <v>0.142</v>
      </c>
      <c r="D1116" s="37">
        <v>0.652</v>
      </c>
      <c r="E1116" s="37">
        <v>0.693</v>
      </c>
      <c r="F1116">
        <v>0.0932</v>
      </c>
      <c r="G1116">
        <v>19.6184</v>
      </c>
      <c r="I1116" s="38"/>
      <c r="J1116" s="39"/>
      <c r="K1116" s="39"/>
      <c r="L1116" s="39"/>
      <c r="M1116" s="39"/>
      <c r="N1116" s="40"/>
      <c r="O1116" s="40"/>
    </row>
    <row r="1117" spans="1:15">
      <c r="A1117" s="28" t="s">
        <v>1432</v>
      </c>
      <c r="B1117" s="37">
        <v>0.126</v>
      </c>
      <c r="C1117" s="37">
        <v>0.142</v>
      </c>
      <c r="D1117" s="37">
        <v>0.626</v>
      </c>
      <c r="E1117" s="37">
        <v>0.693</v>
      </c>
      <c r="F1117">
        <v>0.0935</v>
      </c>
      <c r="G1117">
        <v>19.4536</v>
      </c>
      <c r="I1117" s="38"/>
      <c r="J1117" s="39"/>
      <c r="K1117" s="39"/>
      <c r="L1117" s="39"/>
      <c r="M1117" s="39"/>
      <c r="N1117" s="40"/>
      <c r="O1117" s="40"/>
    </row>
    <row r="1118" spans="1:15">
      <c r="A1118" s="28" t="s">
        <v>1433</v>
      </c>
      <c r="B1118" s="37">
        <v>0.121</v>
      </c>
      <c r="C1118" s="37">
        <v>0.112</v>
      </c>
      <c r="D1118" s="37">
        <v>0.602</v>
      </c>
      <c r="E1118" s="37">
        <v>0.548</v>
      </c>
      <c r="F1118">
        <v>0.0936</v>
      </c>
      <c r="G1118">
        <v>19.53</v>
      </c>
      <c r="I1118" s="38"/>
      <c r="J1118" s="39"/>
      <c r="K1118" s="39"/>
      <c r="L1118" s="39"/>
      <c r="M1118" s="39"/>
      <c r="N1118" s="40"/>
      <c r="O1118" s="40"/>
    </row>
    <row r="1119" spans="1:15">
      <c r="A1119" s="28" t="s">
        <v>1434</v>
      </c>
      <c r="B1119" s="37">
        <v>0.116</v>
      </c>
      <c r="C1119" s="37">
        <v>0.112</v>
      </c>
      <c r="D1119" s="37">
        <v>0.579</v>
      </c>
      <c r="E1119" s="37">
        <v>0.552</v>
      </c>
      <c r="F1119">
        <v>0.0938</v>
      </c>
      <c r="G1119">
        <v>19.5129</v>
      </c>
      <c r="I1119" s="38"/>
      <c r="J1119" s="39"/>
      <c r="K1119" s="39"/>
      <c r="L1119" s="39"/>
      <c r="M1119" s="39"/>
      <c r="N1119" s="40"/>
      <c r="O1119" s="40"/>
    </row>
    <row r="1120" spans="1:15">
      <c r="A1120" s="28" t="s">
        <v>1435</v>
      </c>
      <c r="B1120" s="37">
        <v>0.109</v>
      </c>
      <c r="C1120" s="37">
        <v>0.112</v>
      </c>
      <c r="D1120" s="37">
        <v>0.542</v>
      </c>
      <c r="E1120" s="37">
        <v>0.554</v>
      </c>
      <c r="F1120">
        <v>0.0936</v>
      </c>
      <c r="G1120">
        <v>19.4731</v>
      </c>
      <c r="I1120" s="38"/>
      <c r="J1120" s="39"/>
      <c r="K1120" s="39"/>
      <c r="L1120" s="39"/>
      <c r="M1120" s="39"/>
      <c r="N1120" s="40"/>
      <c r="O1120" s="40"/>
    </row>
    <row r="1121" spans="1:15">
      <c r="A1121" s="28" t="s">
        <v>1436</v>
      </c>
      <c r="B1121" s="37">
        <v>0.104</v>
      </c>
      <c r="C1121" s="37">
        <v>0.116</v>
      </c>
      <c r="D1121" s="37">
        <v>0.519</v>
      </c>
      <c r="E1121" s="37">
        <v>0.568</v>
      </c>
      <c r="F1121">
        <v>0.0934</v>
      </c>
      <c r="G1121">
        <v>19.4458</v>
      </c>
      <c r="I1121" s="38"/>
      <c r="J1121" s="39"/>
      <c r="K1121" s="39"/>
      <c r="L1121" s="39"/>
      <c r="M1121" s="39"/>
      <c r="N1121" s="40"/>
      <c r="O1121" s="40"/>
    </row>
    <row r="1122" spans="1:15">
      <c r="A1122" s="28" t="s">
        <v>1437</v>
      </c>
      <c r="B1122" s="37">
        <v>0.099</v>
      </c>
      <c r="C1122" s="37">
        <v>0.12</v>
      </c>
      <c r="D1122" s="37">
        <v>0.494</v>
      </c>
      <c r="E1122" s="37">
        <v>0.591</v>
      </c>
      <c r="F1122">
        <v>0.0936</v>
      </c>
      <c r="G1122">
        <v>19.34</v>
      </c>
      <c r="I1122" s="38"/>
      <c r="J1122" s="39"/>
      <c r="K1122" s="39"/>
      <c r="L1122" s="39"/>
      <c r="M1122" s="39"/>
      <c r="N1122" s="40"/>
      <c r="O1122" s="40"/>
    </row>
    <row r="1123" spans="1:15">
      <c r="A1123" s="28" t="s">
        <v>1438</v>
      </c>
      <c r="B1123" s="37">
        <v>0.099</v>
      </c>
      <c r="C1123" s="37">
        <v>0.133</v>
      </c>
      <c r="D1123" s="37">
        <v>0.495</v>
      </c>
      <c r="E1123" s="37">
        <v>0.655</v>
      </c>
      <c r="F1123">
        <v>0.0936</v>
      </c>
      <c r="G1123">
        <v>19.2877</v>
      </c>
      <c r="I1123" s="38"/>
      <c r="J1123" s="39"/>
      <c r="K1123" s="39"/>
      <c r="L1123" s="39"/>
      <c r="M1123" s="39"/>
      <c r="N1123" s="40"/>
      <c r="O1123" s="40"/>
    </row>
    <row r="1124" spans="1:15">
      <c r="A1124" s="28" t="s">
        <v>1439</v>
      </c>
      <c r="B1124" s="37">
        <v>0.096</v>
      </c>
      <c r="C1124" s="37">
        <v>0.137</v>
      </c>
      <c r="D1124" s="37">
        <v>0.479</v>
      </c>
      <c r="E1124" s="37">
        <v>0.677</v>
      </c>
      <c r="F1124">
        <v>0.0936</v>
      </c>
      <c r="G1124">
        <v>19.2807</v>
      </c>
      <c r="I1124" s="38"/>
      <c r="J1124" s="39"/>
      <c r="K1124" s="39"/>
      <c r="L1124" s="39"/>
      <c r="M1124" s="39"/>
      <c r="N1124" s="40"/>
      <c r="O1124" s="40"/>
    </row>
    <row r="1125" spans="1:15">
      <c r="A1125" s="28" t="s">
        <v>1440</v>
      </c>
      <c r="B1125" s="37">
        <v>0.098</v>
      </c>
      <c r="C1125" s="37">
        <v>0.13</v>
      </c>
      <c r="D1125" s="37">
        <v>0.489</v>
      </c>
      <c r="E1125" s="37">
        <v>0.642</v>
      </c>
      <c r="F1125">
        <v>0.0931</v>
      </c>
      <c r="G1125">
        <v>19.2866</v>
      </c>
      <c r="I1125" s="38"/>
      <c r="J1125" s="39"/>
      <c r="K1125" s="39"/>
      <c r="L1125" s="39"/>
      <c r="M1125" s="39"/>
      <c r="N1125" s="40"/>
      <c r="O1125" s="40"/>
    </row>
    <row r="1126" spans="1:15">
      <c r="A1126" s="28" t="s">
        <v>1441</v>
      </c>
      <c r="B1126" s="37">
        <v>0.095</v>
      </c>
      <c r="C1126" s="37">
        <v>0.119</v>
      </c>
      <c r="D1126" s="37">
        <v>0.475</v>
      </c>
      <c r="E1126" s="37">
        <v>0.593</v>
      </c>
      <c r="F1126">
        <v>0.0925</v>
      </c>
      <c r="G1126">
        <v>19.1741</v>
      </c>
      <c r="I1126" s="38"/>
      <c r="J1126" s="39"/>
      <c r="K1126" s="39"/>
      <c r="L1126" s="39"/>
      <c r="M1126" s="39"/>
      <c r="N1126" s="40"/>
      <c r="O1126" s="40"/>
    </row>
    <row r="1127" spans="1:15">
      <c r="A1127" s="28" t="s">
        <v>1442</v>
      </c>
      <c r="B1127" s="37">
        <v>0.093</v>
      </c>
      <c r="C1127" s="37">
        <v>0.119</v>
      </c>
      <c r="D1127" s="37">
        <v>0.466</v>
      </c>
      <c r="E1127" s="37">
        <v>0.591</v>
      </c>
      <c r="F1127">
        <v>0.0923</v>
      </c>
      <c r="G1127">
        <v>19.1123</v>
      </c>
      <c r="I1127" s="38"/>
      <c r="J1127" s="39"/>
      <c r="K1127" s="39"/>
      <c r="L1127" s="39"/>
      <c r="M1127" s="39"/>
      <c r="N1127" s="40"/>
      <c r="O1127" s="40"/>
    </row>
    <row r="1128" spans="1:15">
      <c r="A1128" s="28" t="s">
        <v>1443</v>
      </c>
      <c r="B1128" s="37">
        <v>0.092</v>
      </c>
      <c r="C1128" s="37">
        <v>0.116</v>
      </c>
      <c r="D1128" s="37">
        <v>0.461</v>
      </c>
      <c r="E1128" s="37">
        <v>0.577</v>
      </c>
      <c r="F1128">
        <v>0.0922</v>
      </c>
      <c r="G1128">
        <v>19.0412</v>
      </c>
      <c r="I1128" s="38"/>
      <c r="J1128" s="39"/>
      <c r="K1128" s="39"/>
      <c r="L1128" s="39"/>
      <c r="M1128" s="39"/>
      <c r="N1128" s="40"/>
      <c r="O1128" s="40"/>
    </row>
    <row r="1129" spans="1:15">
      <c r="A1129" s="28" t="s">
        <v>1444</v>
      </c>
      <c r="B1129" s="37">
        <v>0.089</v>
      </c>
      <c r="C1129" s="37">
        <v>0.129</v>
      </c>
      <c r="D1129" s="37">
        <v>0.448</v>
      </c>
      <c r="E1129" s="37">
        <v>0.643</v>
      </c>
      <c r="F1129">
        <v>0.0921</v>
      </c>
      <c r="G1129">
        <v>18.9958</v>
      </c>
      <c r="I1129" s="38"/>
      <c r="J1129" s="39"/>
      <c r="K1129" s="39"/>
      <c r="L1129" s="39"/>
      <c r="M1129" s="39"/>
      <c r="N1129" s="40"/>
      <c r="O1129" s="40"/>
    </row>
    <row r="1130" spans="1:15">
      <c r="A1130" s="28" t="s">
        <v>1445</v>
      </c>
      <c r="B1130" s="37">
        <v>0.087</v>
      </c>
      <c r="C1130" s="37">
        <v>0.132</v>
      </c>
      <c r="D1130" s="37">
        <v>0.439</v>
      </c>
      <c r="E1130" s="37">
        <v>0.659</v>
      </c>
      <c r="F1130">
        <v>0.0917</v>
      </c>
      <c r="G1130">
        <v>18.8657</v>
      </c>
      <c r="I1130" s="38"/>
      <c r="J1130" s="39"/>
      <c r="K1130" s="39"/>
      <c r="L1130" s="39"/>
      <c r="M1130" s="39"/>
      <c r="N1130" s="40"/>
      <c r="O1130" s="40"/>
    </row>
    <row r="1131" spans="1:15">
      <c r="A1131" s="28" t="s">
        <v>1446</v>
      </c>
      <c r="B1131" s="37">
        <v>0.089</v>
      </c>
      <c r="C1131" s="37">
        <v>0.126</v>
      </c>
      <c r="D1131" s="37">
        <v>0.452</v>
      </c>
      <c r="E1131" s="37">
        <v>0.632</v>
      </c>
      <c r="F1131">
        <v>0.0917</v>
      </c>
      <c r="G1131">
        <v>18.7973</v>
      </c>
      <c r="I1131" s="38"/>
      <c r="J1131" s="39"/>
      <c r="K1131" s="39"/>
      <c r="L1131" s="39"/>
      <c r="M1131" s="39"/>
      <c r="N1131" s="40"/>
      <c r="O1131" s="40"/>
    </row>
    <row r="1132" spans="1:15">
      <c r="A1132" s="28" t="s">
        <v>1447</v>
      </c>
      <c r="B1132" s="37">
        <v>0.089</v>
      </c>
      <c r="C1132" s="37">
        <v>0.127</v>
      </c>
      <c r="D1132" s="37">
        <v>0.45</v>
      </c>
      <c r="E1132" s="37">
        <v>0.639</v>
      </c>
      <c r="F1132">
        <v>0.0915</v>
      </c>
      <c r="G1132">
        <v>18.7249</v>
      </c>
      <c r="I1132" s="38"/>
      <c r="J1132" s="39"/>
      <c r="K1132" s="39"/>
      <c r="L1132" s="39"/>
      <c r="M1132" s="39"/>
      <c r="N1132" s="40"/>
      <c r="O1132" s="40"/>
    </row>
    <row r="1133" spans="1:15">
      <c r="A1133" s="28" t="s">
        <v>1448</v>
      </c>
      <c r="B1133" s="37">
        <v>0.088</v>
      </c>
      <c r="C1133" s="37">
        <v>0.138</v>
      </c>
      <c r="D1133" s="37">
        <v>0.443</v>
      </c>
      <c r="E1133" s="37">
        <v>0.692</v>
      </c>
      <c r="F1133">
        <v>0.0914</v>
      </c>
      <c r="G1133">
        <v>18.6922</v>
      </c>
      <c r="I1133" s="38"/>
      <c r="J1133" s="39"/>
      <c r="K1133" s="39"/>
      <c r="L1133" s="39"/>
      <c r="M1133" s="39"/>
      <c r="N1133" s="40"/>
      <c r="O1133" s="40"/>
    </row>
    <row r="1134" spans="1:15">
      <c r="A1134" s="28" t="s">
        <v>1449</v>
      </c>
      <c r="B1134" s="37">
        <v>0.085</v>
      </c>
      <c r="C1134" s="37">
        <v>0.133</v>
      </c>
      <c r="D1134" s="37">
        <v>0.432</v>
      </c>
      <c r="E1134" s="37">
        <v>0.671</v>
      </c>
      <c r="F1134">
        <v>0.0912</v>
      </c>
      <c r="G1134">
        <v>18.5837</v>
      </c>
      <c r="I1134" s="38"/>
      <c r="J1134" s="39"/>
      <c r="K1134" s="39"/>
      <c r="L1134" s="39"/>
      <c r="M1134" s="39"/>
      <c r="N1134" s="40"/>
      <c r="O1134" s="40"/>
    </row>
    <row r="1135" spans="1:15">
      <c r="A1135" s="28" t="s">
        <v>1450</v>
      </c>
      <c r="B1135" s="37">
        <v>0.092</v>
      </c>
      <c r="C1135" s="37">
        <v>0.115</v>
      </c>
      <c r="D1135" s="37">
        <v>0.467</v>
      </c>
      <c r="E1135" s="37">
        <v>0.584</v>
      </c>
      <c r="F1135">
        <v>0.0908</v>
      </c>
      <c r="G1135">
        <v>18.5973</v>
      </c>
      <c r="I1135" s="38"/>
      <c r="J1135" s="39"/>
      <c r="K1135" s="39"/>
      <c r="L1135" s="39"/>
      <c r="M1135" s="39"/>
      <c r="N1135" s="40"/>
      <c r="O1135" s="40"/>
    </row>
    <row r="1136" spans="1:15">
      <c r="A1136" s="28" t="s">
        <v>1451</v>
      </c>
      <c r="B1136" s="37">
        <v>0.089</v>
      </c>
      <c r="C1136" s="37">
        <v>0.093</v>
      </c>
      <c r="D1136" s="37">
        <v>0.455</v>
      </c>
      <c r="E1136" s="37">
        <v>0.472</v>
      </c>
      <c r="F1136">
        <v>0.0907</v>
      </c>
      <c r="G1136">
        <v>18.6715</v>
      </c>
      <c r="I1136" s="38"/>
      <c r="J1136" s="39"/>
      <c r="K1136" s="39"/>
      <c r="L1136" s="39"/>
      <c r="M1136" s="39"/>
      <c r="N1136" s="40"/>
      <c r="O1136" s="40"/>
    </row>
    <row r="1137" spans="1:15">
      <c r="A1137" s="28" t="s">
        <v>1452</v>
      </c>
      <c r="B1137" s="37">
        <v>0.09</v>
      </c>
      <c r="C1137" s="37">
        <v>0.088</v>
      </c>
      <c r="D1137" s="37">
        <v>0.463</v>
      </c>
      <c r="E1137" s="37">
        <v>0.449</v>
      </c>
      <c r="F1137">
        <v>0.0905</v>
      </c>
      <c r="G1137">
        <v>18.5405</v>
      </c>
      <c r="I1137" s="38"/>
      <c r="J1137" s="39"/>
      <c r="K1137" s="39"/>
      <c r="L1137" s="39"/>
      <c r="M1137" s="39"/>
      <c r="N1137" s="40"/>
      <c r="O1137" s="40"/>
    </row>
    <row r="1138" spans="1:15">
      <c r="A1138" s="28" t="s">
        <v>1453</v>
      </c>
      <c r="B1138" s="37">
        <v>0.091</v>
      </c>
      <c r="C1138" s="37">
        <v>0.102</v>
      </c>
      <c r="D1138" s="37">
        <v>0.468</v>
      </c>
      <c r="E1138" s="37">
        <v>0.519</v>
      </c>
      <c r="F1138">
        <v>0.0899</v>
      </c>
      <c r="G1138">
        <v>18.3941</v>
      </c>
      <c r="I1138" s="38"/>
      <c r="J1138" s="39"/>
      <c r="K1138" s="39"/>
      <c r="L1138" s="39"/>
      <c r="M1138" s="39"/>
      <c r="N1138" s="40"/>
      <c r="O1138" s="40"/>
    </row>
    <row r="1139" spans="1:15">
      <c r="A1139" s="28" t="s">
        <v>1454</v>
      </c>
      <c r="B1139" s="37">
        <v>0.098</v>
      </c>
      <c r="C1139" s="37">
        <v>0.103</v>
      </c>
      <c r="D1139" s="37">
        <v>0.506</v>
      </c>
      <c r="E1139" s="37">
        <v>0.53</v>
      </c>
      <c r="F1139">
        <v>0.0896</v>
      </c>
      <c r="G1139">
        <v>18.3253</v>
      </c>
      <c r="I1139" s="38"/>
      <c r="J1139" s="39"/>
      <c r="K1139" s="39"/>
      <c r="L1139" s="39"/>
      <c r="M1139" s="39"/>
      <c r="N1139" s="40"/>
      <c r="O1139" s="40"/>
    </row>
    <row r="1140" spans="1:15">
      <c r="A1140" s="28" t="s">
        <v>1455</v>
      </c>
      <c r="B1140" s="37">
        <v>0.095</v>
      </c>
      <c r="C1140" s="37">
        <v>0.098</v>
      </c>
      <c r="D1140" s="37">
        <v>0.489</v>
      </c>
      <c r="E1140" s="37">
        <v>0.506</v>
      </c>
      <c r="F1140">
        <v>0.0891</v>
      </c>
      <c r="G1140">
        <v>18.2318</v>
      </c>
      <c r="I1140" s="38"/>
      <c r="J1140" s="39"/>
      <c r="K1140" s="39"/>
      <c r="L1140" s="39"/>
      <c r="M1140" s="39"/>
      <c r="N1140" s="40"/>
      <c r="O1140" s="40"/>
    </row>
    <row r="1141" spans="1:15">
      <c r="A1141" s="28" t="s">
        <v>1456</v>
      </c>
      <c r="B1141" s="37">
        <v>0.093</v>
      </c>
      <c r="C1141" s="37">
        <v>0.108</v>
      </c>
      <c r="D1141" s="37">
        <v>0.479</v>
      </c>
      <c r="E1141" s="37">
        <v>0.56</v>
      </c>
      <c r="F1141">
        <v>0.0887</v>
      </c>
      <c r="G1141">
        <v>18.103</v>
      </c>
      <c r="I1141" s="38"/>
      <c r="J1141" s="39"/>
      <c r="K1141" s="39"/>
      <c r="L1141" s="39"/>
      <c r="M1141" s="39"/>
      <c r="N1141" s="40"/>
      <c r="O1141" s="40"/>
    </row>
    <row r="1142" spans="1:15">
      <c r="A1142" s="28" t="s">
        <v>1457</v>
      </c>
      <c r="B1142" s="37">
        <v>0.09</v>
      </c>
      <c r="C1142" s="37">
        <v>0.11</v>
      </c>
      <c r="D1142" s="37">
        <v>0.469</v>
      </c>
      <c r="E1142" s="37">
        <v>0.569</v>
      </c>
      <c r="F1142">
        <v>0.0886</v>
      </c>
      <c r="G1142">
        <v>17.9788</v>
      </c>
      <c r="I1142" s="38"/>
      <c r="J1142" s="39"/>
      <c r="K1142" s="39"/>
      <c r="L1142" s="39"/>
      <c r="M1142" s="39"/>
      <c r="N1142" s="40"/>
      <c r="O1142" s="40"/>
    </row>
    <row r="1143" spans="1:15">
      <c r="A1143" s="28" t="s">
        <v>1458</v>
      </c>
      <c r="B1143" s="37">
        <v>0.091</v>
      </c>
      <c r="C1143" s="37">
        <v>0.105</v>
      </c>
      <c r="D1143" s="37">
        <v>0.475</v>
      </c>
      <c r="E1143" s="37">
        <v>0.547</v>
      </c>
      <c r="F1143">
        <v>0.0882</v>
      </c>
      <c r="G1143">
        <v>17.9573</v>
      </c>
      <c r="I1143" s="38"/>
      <c r="J1143" s="39"/>
      <c r="K1143" s="39"/>
      <c r="L1143" s="39"/>
      <c r="M1143" s="39"/>
      <c r="N1143" s="40"/>
      <c r="O1143" s="40"/>
    </row>
    <row r="1144" spans="1:15">
      <c r="A1144" s="28" t="s">
        <v>1459</v>
      </c>
      <c r="B1144" s="37">
        <v>0.093</v>
      </c>
      <c r="C1144" s="37">
        <v>0.091</v>
      </c>
      <c r="D1144" s="37">
        <v>0.487</v>
      </c>
      <c r="E1144" s="37">
        <v>0.475</v>
      </c>
      <c r="F1144">
        <v>0.0874</v>
      </c>
      <c r="G1144">
        <v>17.7946</v>
      </c>
      <c r="I1144" s="38"/>
      <c r="J1144" s="39"/>
      <c r="K1144" s="39"/>
      <c r="L1144" s="39"/>
      <c r="M1144" s="39"/>
      <c r="N1144" s="40"/>
      <c r="O1144" s="40"/>
    </row>
    <row r="1145" spans="1:15">
      <c r="A1145" s="28" t="s">
        <v>1460</v>
      </c>
      <c r="B1145" s="37">
        <v>0.093</v>
      </c>
      <c r="C1145" s="37">
        <v>0.086</v>
      </c>
      <c r="D1145" s="37">
        <v>0.487</v>
      </c>
      <c r="E1145" s="37">
        <v>0.451</v>
      </c>
      <c r="F1145">
        <v>0.087</v>
      </c>
      <c r="G1145">
        <v>17.7159</v>
      </c>
      <c r="I1145" s="38"/>
      <c r="J1145" s="39"/>
      <c r="K1145" s="39"/>
      <c r="L1145" s="39"/>
      <c r="M1145" s="39"/>
      <c r="N1145" s="40"/>
      <c r="O1145" s="40"/>
    </row>
    <row r="1146" spans="1:15">
      <c r="A1146" s="28" t="s">
        <v>1461</v>
      </c>
      <c r="B1146" s="37">
        <v>0.091</v>
      </c>
      <c r="C1146" s="37">
        <v>0.086</v>
      </c>
      <c r="D1146" s="37">
        <v>0.476</v>
      </c>
      <c r="E1146" s="37">
        <v>0.452</v>
      </c>
      <c r="F1146">
        <v>0.0869</v>
      </c>
      <c r="G1146">
        <v>17.6198</v>
      </c>
      <c r="I1146" s="38"/>
      <c r="J1146" s="39"/>
      <c r="K1146" s="39"/>
      <c r="L1146" s="39"/>
      <c r="M1146" s="39"/>
      <c r="N1146" s="40"/>
      <c r="O1146" s="40"/>
    </row>
    <row r="1147" spans="1:15">
      <c r="A1147" s="28" t="s">
        <v>1462</v>
      </c>
      <c r="B1147" s="37">
        <v>0.09</v>
      </c>
      <c r="C1147" s="37">
        <v>0.098</v>
      </c>
      <c r="D1147" s="37">
        <v>0.475</v>
      </c>
      <c r="E1147" s="37">
        <v>0.523</v>
      </c>
      <c r="F1147">
        <v>0.0863</v>
      </c>
      <c r="G1147">
        <v>17.5214</v>
      </c>
      <c r="I1147" s="38"/>
      <c r="J1147" s="39"/>
      <c r="K1147" s="39"/>
      <c r="L1147" s="39"/>
      <c r="M1147" s="39"/>
      <c r="N1147" s="40"/>
      <c r="O1147" s="40"/>
    </row>
    <row r="1148" spans="1:15">
      <c r="A1148" s="28" t="s">
        <v>1463</v>
      </c>
      <c r="B1148" s="37">
        <v>0.091</v>
      </c>
      <c r="C1148" s="37">
        <v>0.102</v>
      </c>
      <c r="D1148" s="37">
        <v>0.484</v>
      </c>
      <c r="E1148" s="37">
        <v>0.543</v>
      </c>
      <c r="F1148">
        <v>0.0861</v>
      </c>
      <c r="G1148">
        <v>17.4057</v>
      </c>
      <c r="I1148" s="38"/>
      <c r="J1148" s="39"/>
      <c r="K1148" s="39"/>
      <c r="L1148" s="39"/>
      <c r="M1148" s="39"/>
      <c r="N1148" s="40"/>
      <c r="O1148" s="40"/>
    </row>
    <row r="1149" spans="1:15">
      <c r="A1149" s="28" t="s">
        <v>1464</v>
      </c>
      <c r="B1149" s="37">
        <v>0.091</v>
      </c>
      <c r="C1149" s="37">
        <v>0.102</v>
      </c>
      <c r="D1149" s="37">
        <v>0.486</v>
      </c>
      <c r="E1149" s="37">
        <v>0.546</v>
      </c>
      <c r="F1149">
        <v>0.0861</v>
      </c>
      <c r="G1149">
        <v>17.3335</v>
      </c>
      <c r="I1149" s="38"/>
      <c r="J1149" s="39"/>
      <c r="K1149" s="39"/>
      <c r="L1149" s="39"/>
      <c r="M1149" s="39"/>
      <c r="N1149" s="40"/>
      <c r="O1149" s="40"/>
    </row>
    <row r="1150" spans="1:15">
      <c r="A1150" s="28" t="s">
        <v>1465</v>
      </c>
      <c r="B1150" s="37">
        <v>0.091</v>
      </c>
      <c r="C1150" s="37">
        <v>0.11</v>
      </c>
      <c r="D1150" s="37">
        <v>0.486</v>
      </c>
      <c r="E1150" s="37">
        <v>0.596</v>
      </c>
      <c r="F1150">
        <v>0.0856</v>
      </c>
      <c r="G1150">
        <v>17.2016</v>
      </c>
      <c r="I1150" s="38"/>
      <c r="J1150" s="39"/>
      <c r="K1150" s="39"/>
      <c r="L1150" s="39"/>
      <c r="M1150" s="39"/>
      <c r="N1150" s="40"/>
      <c r="O1150" s="40"/>
    </row>
    <row r="1151" spans="1:15">
      <c r="A1151" s="28" t="s">
        <v>1466</v>
      </c>
      <c r="B1151" s="37">
        <v>0.094</v>
      </c>
      <c r="C1151" s="37">
        <v>0.098</v>
      </c>
      <c r="D1151" s="37">
        <v>0.503</v>
      </c>
      <c r="E1151" s="37">
        <v>0.535</v>
      </c>
      <c r="F1151">
        <v>0.0854</v>
      </c>
      <c r="G1151">
        <v>17.1027</v>
      </c>
      <c r="I1151" s="38"/>
      <c r="J1151" s="39"/>
      <c r="K1151" s="39"/>
      <c r="L1151" s="39"/>
      <c r="M1151" s="39"/>
      <c r="N1151" s="40"/>
      <c r="O1151" s="40"/>
    </row>
    <row r="1152" spans="1:15">
      <c r="A1152" s="28" t="s">
        <v>1467</v>
      </c>
      <c r="B1152" s="37">
        <v>0.093</v>
      </c>
      <c r="C1152" s="37">
        <v>0.088</v>
      </c>
      <c r="D1152" s="37">
        <v>0.498</v>
      </c>
      <c r="E1152" s="37">
        <v>0.479</v>
      </c>
      <c r="F1152">
        <v>0.0848</v>
      </c>
      <c r="G1152">
        <v>17.0282</v>
      </c>
      <c r="I1152" s="38"/>
      <c r="J1152" s="39"/>
      <c r="K1152" s="39"/>
      <c r="L1152" s="39"/>
      <c r="M1152" s="39"/>
      <c r="N1152" s="40"/>
      <c r="O1152" s="40"/>
    </row>
    <row r="1153" spans="1:15">
      <c r="A1153" s="28" t="s">
        <v>1468</v>
      </c>
      <c r="B1153" s="37">
        <v>0.092</v>
      </c>
      <c r="C1153" s="37">
        <v>0.092</v>
      </c>
      <c r="D1153" s="37">
        <v>0.495</v>
      </c>
      <c r="E1153" s="37">
        <v>0.502</v>
      </c>
      <c r="F1153">
        <v>0.0843</v>
      </c>
      <c r="G1153">
        <v>16.9501</v>
      </c>
      <c r="I1153" s="38"/>
      <c r="J1153" s="39"/>
      <c r="K1153" s="39"/>
      <c r="L1153" s="39"/>
      <c r="M1153" s="39"/>
      <c r="N1153" s="40"/>
      <c r="O1153" s="40"/>
    </row>
    <row r="1154" spans="1:15">
      <c r="A1154" s="28" t="s">
        <v>1469</v>
      </c>
      <c r="B1154" s="37">
        <v>0.087</v>
      </c>
      <c r="C1154" s="37">
        <v>0.084</v>
      </c>
      <c r="D1154" s="37">
        <v>0.473</v>
      </c>
      <c r="E1154" s="37">
        <v>0.463</v>
      </c>
      <c r="F1154">
        <v>0.0835</v>
      </c>
      <c r="G1154">
        <v>16.8117</v>
      </c>
      <c r="I1154" s="38"/>
      <c r="J1154" s="39"/>
      <c r="K1154" s="39"/>
      <c r="L1154" s="39"/>
      <c r="M1154" s="39"/>
      <c r="N1154" s="40"/>
      <c r="O1154" s="40"/>
    </row>
    <row r="1155" spans="1:15">
      <c r="A1155" s="28" t="s">
        <v>1470</v>
      </c>
      <c r="B1155" s="37">
        <v>0.087</v>
      </c>
      <c r="C1155" s="37">
        <v>0.074</v>
      </c>
      <c r="D1155" s="37">
        <v>0.474</v>
      </c>
      <c r="E1155" s="37">
        <v>0.408</v>
      </c>
      <c r="F1155">
        <v>0.0834</v>
      </c>
      <c r="G1155">
        <v>16.6826</v>
      </c>
      <c r="I1155" s="38"/>
      <c r="J1155" s="39"/>
      <c r="K1155" s="39"/>
      <c r="L1155" s="39"/>
      <c r="M1155" s="39"/>
      <c r="N1155" s="40"/>
      <c r="O1155" s="40"/>
    </row>
    <row r="1156" spans="1:15">
      <c r="A1156" s="28" t="s">
        <v>1471</v>
      </c>
      <c r="B1156" s="37">
        <v>0.085</v>
      </c>
      <c r="C1156" s="37">
        <v>0.079</v>
      </c>
      <c r="D1156" s="37">
        <v>0.467</v>
      </c>
      <c r="E1156" s="37">
        <v>0.44</v>
      </c>
      <c r="F1156">
        <v>0.0826</v>
      </c>
      <c r="G1156">
        <v>16.5501</v>
      </c>
      <c r="I1156" s="38"/>
      <c r="J1156" s="39"/>
      <c r="K1156" s="39"/>
      <c r="L1156" s="39"/>
      <c r="M1156" s="39"/>
      <c r="N1156" s="40"/>
      <c r="O1156" s="40"/>
    </row>
    <row r="1157" spans="1:15">
      <c r="A1157" s="28" t="s">
        <v>1472</v>
      </c>
      <c r="B1157" s="37">
        <v>0.088</v>
      </c>
      <c r="C1157" s="37">
        <v>0.079</v>
      </c>
      <c r="D1157" s="37">
        <v>0.486</v>
      </c>
      <c r="E1157" s="37">
        <v>0.443</v>
      </c>
      <c r="F1157">
        <v>0.082</v>
      </c>
      <c r="G1157">
        <v>16.3504</v>
      </c>
      <c r="I1157" s="38"/>
      <c r="J1157" s="39"/>
      <c r="K1157" s="39"/>
      <c r="L1157" s="39"/>
      <c r="M1157" s="39"/>
      <c r="N1157" s="40"/>
      <c r="O1157" s="40"/>
    </row>
    <row r="1158" spans="1:15">
      <c r="A1158" s="28" t="s">
        <v>1473</v>
      </c>
      <c r="B1158" s="37">
        <v>0.089</v>
      </c>
      <c r="C1158" s="37">
        <v>0.068</v>
      </c>
      <c r="D1158" s="37">
        <v>0.495</v>
      </c>
      <c r="E1158" s="37">
        <v>0.383</v>
      </c>
      <c r="F1158">
        <v>0.0814</v>
      </c>
      <c r="G1158">
        <v>16.272</v>
      </c>
      <c r="I1158" s="38"/>
      <c r="J1158" s="39"/>
      <c r="K1158" s="39"/>
      <c r="L1158" s="39"/>
      <c r="M1158" s="39"/>
      <c r="N1158" s="40"/>
      <c r="O1158" s="40"/>
    </row>
    <row r="1159" spans="1:15">
      <c r="A1159" s="28" t="s">
        <v>1474</v>
      </c>
      <c r="B1159" s="37">
        <v>0.092</v>
      </c>
      <c r="C1159" s="37">
        <v>0.052</v>
      </c>
      <c r="D1159" s="37">
        <v>0.517</v>
      </c>
      <c r="E1159" s="37">
        <v>0.299</v>
      </c>
      <c r="F1159">
        <v>0.0809</v>
      </c>
      <c r="G1159">
        <v>16.0557</v>
      </c>
      <c r="I1159" s="38"/>
      <c r="J1159" s="39"/>
      <c r="K1159" s="39"/>
      <c r="L1159" s="39"/>
      <c r="M1159" s="39"/>
      <c r="N1159" s="40"/>
      <c r="O1159" s="40"/>
    </row>
    <row r="1160" spans="1:15">
      <c r="A1160" s="28" t="s">
        <v>1475</v>
      </c>
      <c r="B1160" s="37">
        <v>0.094</v>
      </c>
      <c r="C1160" s="37">
        <v>0.052</v>
      </c>
      <c r="D1160" s="37">
        <v>0.527</v>
      </c>
      <c r="E1160" s="37">
        <v>0.301</v>
      </c>
      <c r="F1160">
        <v>0.0805</v>
      </c>
      <c r="G1160">
        <v>15.9562</v>
      </c>
      <c r="I1160" s="38"/>
      <c r="J1160" s="39"/>
      <c r="K1160" s="39"/>
      <c r="L1160" s="39"/>
      <c r="M1160" s="39"/>
      <c r="N1160" s="40"/>
      <c r="O1160" s="40"/>
    </row>
    <row r="1161" spans="1:15">
      <c r="A1161" s="28" t="s">
        <v>1476</v>
      </c>
      <c r="B1161" s="37">
        <v>0.095</v>
      </c>
      <c r="C1161" s="37">
        <v>0.054</v>
      </c>
      <c r="D1161" s="37">
        <v>0.536</v>
      </c>
      <c r="E1161" s="37">
        <v>0.314</v>
      </c>
      <c r="F1161">
        <v>0.0802</v>
      </c>
      <c r="G1161">
        <v>15.8439</v>
      </c>
      <c r="I1161" s="38"/>
      <c r="J1161" s="39"/>
      <c r="K1161" s="39"/>
      <c r="L1161" s="39"/>
      <c r="M1161" s="39"/>
      <c r="N1161" s="40"/>
      <c r="O1161" s="40"/>
    </row>
    <row r="1162" spans="1:15">
      <c r="A1162" s="28" t="s">
        <v>1477</v>
      </c>
      <c r="B1162" s="37">
        <v>0.095</v>
      </c>
      <c r="C1162" s="37">
        <v>0.051</v>
      </c>
      <c r="D1162" s="37">
        <v>0.543</v>
      </c>
      <c r="E1162" s="37">
        <v>0.297</v>
      </c>
      <c r="F1162">
        <v>0.0798</v>
      </c>
      <c r="G1162">
        <v>15.6925</v>
      </c>
      <c r="I1162" s="38"/>
      <c r="J1162" s="39"/>
      <c r="K1162" s="39"/>
      <c r="L1162" s="39"/>
      <c r="M1162" s="39"/>
      <c r="N1162" s="40"/>
      <c r="O1162" s="40"/>
    </row>
    <row r="1163" spans="1:15">
      <c r="A1163" s="28" t="s">
        <v>1478</v>
      </c>
      <c r="B1163" s="37">
        <v>0.09</v>
      </c>
      <c r="C1163" s="37">
        <v>0.043</v>
      </c>
      <c r="D1163" s="37">
        <v>0.517</v>
      </c>
      <c r="E1163" s="37">
        <v>0.251</v>
      </c>
      <c r="F1163">
        <v>0.0788</v>
      </c>
      <c r="G1163">
        <v>15.5525</v>
      </c>
      <c r="I1163" s="38"/>
      <c r="J1163" s="39"/>
      <c r="K1163" s="39"/>
      <c r="L1163" s="39"/>
      <c r="M1163" s="39"/>
      <c r="N1163" s="40"/>
      <c r="O1163" s="40"/>
    </row>
    <row r="1164" spans="1:15">
      <c r="A1164" s="28" t="s">
        <v>1479</v>
      </c>
      <c r="B1164" s="37">
        <v>0.09</v>
      </c>
      <c r="C1164" s="37">
        <v>0.045</v>
      </c>
      <c r="D1164" s="37">
        <v>0.52</v>
      </c>
      <c r="E1164" s="37">
        <v>0.263</v>
      </c>
      <c r="F1164">
        <v>0.0781</v>
      </c>
      <c r="G1164">
        <v>15.3598</v>
      </c>
      <c r="I1164" s="38"/>
      <c r="J1164" s="39"/>
      <c r="K1164" s="39"/>
      <c r="L1164" s="39"/>
      <c r="M1164" s="39"/>
      <c r="N1164" s="40"/>
      <c r="O1164" s="40"/>
    </row>
    <row r="1165" spans="1:15">
      <c r="A1165" s="28" t="s">
        <v>1480</v>
      </c>
      <c r="B1165" s="37">
        <v>0.087</v>
      </c>
      <c r="C1165" s="37">
        <v>0.05</v>
      </c>
      <c r="D1165" s="37">
        <v>0.51</v>
      </c>
      <c r="E1165" s="37">
        <v>0.298</v>
      </c>
      <c r="F1165">
        <v>0.077</v>
      </c>
      <c r="G1165">
        <v>15.1875</v>
      </c>
      <c r="I1165" s="38"/>
      <c r="J1165" s="39"/>
      <c r="K1165" s="39"/>
      <c r="L1165" s="39"/>
      <c r="M1165" s="39"/>
      <c r="N1165" s="40"/>
      <c r="O1165" s="40"/>
    </row>
    <row r="1166" spans="1:15">
      <c r="A1166" s="28" t="s">
        <v>1481</v>
      </c>
      <c r="B1166" s="37">
        <v>0.089</v>
      </c>
      <c r="C1166" s="37">
        <v>0.049</v>
      </c>
      <c r="D1166" s="37">
        <v>0.523</v>
      </c>
      <c r="E1166" s="37">
        <v>0.296</v>
      </c>
      <c r="F1166">
        <v>0.0767</v>
      </c>
      <c r="G1166">
        <v>15.11</v>
      </c>
      <c r="I1166" s="38"/>
      <c r="J1166" s="39"/>
      <c r="K1166" s="39"/>
      <c r="L1166" s="39"/>
      <c r="M1166" s="39"/>
      <c r="N1166" s="40"/>
      <c r="O1166" s="40"/>
    </row>
    <row r="1167" spans="1:15">
      <c r="A1167" s="28" t="s">
        <v>1482</v>
      </c>
      <c r="B1167" s="37">
        <v>0.09</v>
      </c>
      <c r="C1167" s="37">
        <v>0.049</v>
      </c>
      <c r="D1167" s="37">
        <v>0.531</v>
      </c>
      <c r="E1167" s="37">
        <v>0.297</v>
      </c>
      <c r="F1167">
        <v>0.0758</v>
      </c>
      <c r="G1167">
        <v>15.0461</v>
      </c>
      <c r="I1167" s="38"/>
      <c r="J1167" s="39"/>
      <c r="K1167" s="39"/>
      <c r="L1167" s="39"/>
      <c r="M1167" s="39"/>
      <c r="N1167" s="40"/>
      <c r="O1167" s="40"/>
    </row>
    <row r="1168" spans="1:15">
      <c r="A1168" s="28" t="s">
        <v>1483</v>
      </c>
      <c r="B1168" s="37">
        <v>0.088</v>
      </c>
      <c r="C1168" s="37">
        <v>0.039</v>
      </c>
      <c r="D1168" s="37">
        <v>0.526</v>
      </c>
      <c r="E1168" s="37">
        <v>0.234</v>
      </c>
      <c r="F1168">
        <v>0.0754</v>
      </c>
      <c r="G1168">
        <v>14.9185</v>
      </c>
      <c r="I1168" s="38"/>
      <c r="J1168" s="39"/>
      <c r="K1168" s="39"/>
      <c r="L1168" s="39"/>
      <c r="M1168" s="39"/>
      <c r="N1168" s="40"/>
      <c r="O1168" s="40"/>
    </row>
    <row r="1169" spans="1:15">
      <c r="A1169" s="28" t="s">
        <v>1484</v>
      </c>
      <c r="B1169" s="37">
        <v>0.084</v>
      </c>
      <c r="C1169" s="37">
        <v>0.04</v>
      </c>
      <c r="D1169" s="37">
        <v>0.504</v>
      </c>
      <c r="E1169" s="37">
        <v>0.241</v>
      </c>
      <c r="F1169">
        <v>0.0752</v>
      </c>
      <c r="G1169">
        <v>14.8706</v>
      </c>
      <c r="I1169" s="38"/>
      <c r="J1169" s="39"/>
      <c r="K1169" s="39"/>
      <c r="L1169" s="39"/>
      <c r="M1169" s="39"/>
      <c r="N1169" s="40"/>
      <c r="O1169" s="40"/>
    </row>
    <row r="1170" spans="1:15">
      <c r="A1170" s="28" t="s">
        <v>1485</v>
      </c>
      <c r="B1170" s="37">
        <v>0.081</v>
      </c>
      <c r="C1170" s="37">
        <v>0.039</v>
      </c>
      <c r="D1170" s="37">
        <v>0.49</v>
      </c>
      <c r="E1170" s="37">
        <v>0.237</v>
      </c>
      <c r="F1170">
        <v>0.0745</v>
      </c>
      <c r="G1170">
        <v>14.703</v>
      </c>
      <c r="I1170" s="38"/>
      <c r="J1170" s="39"/>
      <c r="K1170" s="39"/>
      <c r="L1170" s="39"/>
      <c r="M1170" s="39"/>
      <c r="N1170" s="40"/>
      <c r="O1170" s="40"/>
    </row>
    <row r="1171" spans="1:15">
      <c r="A1171" s="28" t="s">
        <v>1486</v>
      </c>
      <c r="B1171" s="37">
        <v>0.08</v>
      </c>
      <c r="C1171" s="37">
        <v>0.033</v>
      </c>
      <c r="D1171" s="37">
        <v>0.49</v>
      </c>
      <c r="E1171" s="37">
        <v>0.202</v>
      </c>
      <c r="F1171">
        <v>0.0736</v>
      </c>
      <c r="G1171">
        <v>14.5923</v>
      </c>
      <c r="I1171" s="38"/>
      <c r="J1171" s="39"/>
      <c r="K1171" s="39"/>
      <c r="L1171" s="39"/>
      <c r="M1171" s="39"/>
      <c r="N1171" s="40"/>
      <c r="O1171" s="40"/>
    </row>
    <row r="1172" spans="1:15">
      <c r="A1172" s="28" t="s">
        <v>1487</v>
      </c>
      <c r="B1172" s="37">
        <v>0.081</v>
      </c>
      <c r="C1172" s="37">
        <v>0.046</v>
      </c>
      <c r="D1172" s="37">
        <v>0.495</v>
      </c>
      <c r="E1172" s="37">
        <v>0.282</v>
      </c>
      <c r="F1172">
        <v>0.0731</v>
      </c>
      <c r="G1172">
        <v>14.4257</v>
      </c>
      <c r="I1172" s="38"/>
      <c r="J1172" s="39"/>
      <c r="K1172" s="39"/>
      <c r="L1172" s="39"/>
      <c r="M1172" s="39"/>
      <c r="N1172" s="40"/>
      <c r="O1172" s="40"/>
    </row>
    <row r="1173" spans="1:15">
      <c r="A1173" s="28" t="s">
        <v>1488</v>
      </c>
      <c r="B1173" s="37">
        <v>0.082</v>
      </c>
      <c r="C1173" s="37">
        <v>0.049</v>
      </c>
      <c r="D1173" s="37">
        <v>0.508</v>
      </c>
      <c r="E1173" s="37">
        <v>0.303</v>
      </c>
      <c r="F1173">
        <v>0.073</v>
      </c>
      <c r="G1173">
        <v>14.2046</v>
      </c>
      <c r="I1173" s="38"/>
      <c r="J1173" s="39"/>
      <c r="K1173" s="39"/>
      <c r="L1173" s="39"/>
      <c r="M1173" s="39"/>
      <c r="N1173" s="40"/>
      <c r="O1173" s="40"/>
    </row>
    <row r="1174" spans="1:15">
      <c r="A1174" s="28" t="s">
        <v>1489</v>
      </c>
      <c r="B1174" s="37">
        <v>0.079</v>
      </c>
      <c r="C1174" s="37">
        <v>0.049</v>
      </c>
      <c r="D1174" s="37">
        <v>0.494</v>
      </c>
      <c r="E1174" s="37">
        <v>0.304</v>
      </c>
      <c r="F1174">
        <v>0.0728</v>
      </c>
      <c r="G1174">
        <v>14.0696</v>
      </c>
      <c r="I1174" s="38"/>
      <c r="J1174" s="39"/>
      <c r="K1174" s="39"/>
      <c r="L1174" s="39"/>
      <c r="M1174" s="39"/>
      <c r="N1174" s="40"/>
      <c r="O1174" s="40"/>
    </row>
    <row r="1175" spans="1:15">
      <c r="A1175" s="28" t="s">
        <v>1490</v>
      </c>
      <c r="B1175" s="37">
        <v>0.083</v>
      </c>
      <c r="C1175" s="37">
        <v>0.044</v>
      </c>
      <c r="D1175" s="37">
        <v>0.519</v>
      </c>
      <c r="E1175" s="37">
        <v>0.272</v>
      </c>
      <c r="F1175">
        <v>0.0725</v>
      </c>
      <c r="G1175">
        <v>13.8852</v>
      </c>
      <c r="I1175" s="38"/>
      <c r="J1175" s="39"/>
      <c r="K1175" s="39"/>
      <c r="L1175" s="39"/>
      <c r="M1175" s="39"/>
      <c r="N1175" s="40"/>
      <c r="O1175" s="40"/>
    </row>
    <row r="1176" spans="1:15">
      <c r="A1176" s="28" t="s">
        <v>1491</v>
      </c>
      <c r="B1176" s="37">
        <v>0.085</v>
      </c>
      <c r="C1176" s="37">
        <v>0.048</v>
      </c>
      <c r="D1176" s="37">
        <v>0.537</v>
      </c>
      <c r="E1176" s="37">
        <v>0.301</v>
      </c>
      <c r="F1176">
        <v>0.0716</v>
      </c>
      <c r="G1176">
        <v>13.8067</v>
      </c>
      <c r="I1176" s="38"/>
      <c r="J1176" s="39"/>
      <c r="K1176" s="39"/>
      <c r="L1176" s="39"/>
      <c r="M1176" s="39"/>
      <c r="N1176" s="40"/>
      <c r="O1176" s="40"/>
    </row>
    <row r="1177" spans="1:15">
      <c r="A1177" s="28" t="s">
        <v>1492</v>
      </c>
      <c r="B1177" s="37">
        <v>0.082</v>
      </c>
      <c r="C1177" s="37">
        <v>0.05</v>
      </c>
      <c r="D1177" s="37">
        <v>0.521</v>
      </c>
      <c r="E1177" s="37">
        <v>0.313</v>
      </c>
      <c r="F1177">
        <v>0.071</v>
      </c>
      <c r="G1177">
        <v>13.7353</v>
      </c>
      <c r="I1177" s="38"/>
      <c r="J1177" s="39"/>
      <c r="K1177" s="39"/>
      <c r="L1177" s="39"/>
      <c r="M1177" s="39"/>
      <c r="N1177" s="40"/>
      <c r="O1177" s="40"/>
    </row>
    <row r="1178" spans="1:15">
      <c r="A1178" s="28" t="s">
        <v>1493</v>
      </c>
      <c r="B1178" s="37">
        <v>0.08</v>
      </c>
      <c r="C1178" s="37">
        <v>0.046</v>
      </c>
      <c r="D1178" s="37">
        <v>0.513</v>
      </c>
      <c r="E1178" s="37">
        <v>0.287</v>
      </c>
      <c r="F1178">
        <v>0.0706</v>
      </c>
      <c r="G1178">
        <v>13.5401</v>
      </c>
      <c r="I1178" s="38"/>
      <c r="J1178" s="39"/>
      <c r="K1178" s="39"/>
      <c r="L1178" s="39"/>
      <c r="M1178" s="39"/>
      <c r="N1178" s="40"/>
      <c r="O1178" s="40"/>
    </row>
    <row r="1179" spans="1:15">
      <c r="A1179" s="28" t="s">
        <v>1494</v>
      </c>
      <c r="B1179" s="37">
        <v>0.08</v>
      </c>
      <c r="C1179" s="37">
        <v>0.04</v>
      </c>
      <c r="D1179" s="37">
        <v>0.516</v>
      </c>
      <c r="E1179" s="37">
        <v>0.254</v>
      </c>
      <c r="F1179">
        <v>0.0703</v>
      </c>
      <c r="G1179">
        <v>13.4168</v>
      </c>
      <c r="I1179" s="38"/>
      <c r="J1179" s="39"/>
      <c r="K1179" s="39"/>
      <c r="L1179" s="39"/>
      <c r="M1179" s="39"/>
      <c r="N1179" s="40"/>
      <c r="O1179" s="40"/>
    </row>
    <row r="1180" spans="1:15">
      <c r="A1180" s="28" t="s">
        <v>1495</v>
      </c>
      <c r="B1180" s="37">
        <v>0.08</v>
      </c>
      <c r="C1180" s="37">
        <v>0.04</v>
      </c>
      <c r="D1180" s="37">
        <v>0.52</v>
      </c>
      <c r="E1180" s="37">
        <v>0.258</v>
      </c>
      <c r="F1180">
        <v>0.0698</v>
      </c>
      <c r="G1180">
        <v>13.2214</v>
      </c>
      <c r="I1180" s="38"/>
      <c r="J1180" s="39"/>
      <c r="K1180" s="39"/>
      <c r="L1180" s="39"/>
      <c r="M1180" s="39"/>
      <c r="N1180" s="40"/>
      <c r="O1180" s="40"/>
    </row>
    <row r="1181" spans="1:15">
      <c r="A1181" s="28" t="s">
        <v>1496</v>
      </c>
      <c r="B1181" s="37">
        <v>0.08</v>
      </c>
      <c r="C1181" s="37">
        <v>0.04</v>
      </c>
      <c r="D1181" s="37">
        <v>0.523</v>
      </c>
      <c r="E1181" s="37">
        <v>0.254</v>
      </c>
      <c r="F1181">
        <v>0.0695</v>
      </c>
      <c r="G1181">
        <v>13.0917</v>
      </c>
      <c r="I1181" s="38"/>
      <c r="J1181" s="39"/>
      <c r="K1181" s="39"/>
      <c r="L1181" s="39"/>
      <c r="M1181" s="39"/>
      <c r="N1181" s="40"/>
      <c r="O1181" s="40"/>
    </row>
    <row r="1182" spans="1:15">
      <c r="A1182" s="28" t="s">
        <v>1497</v>
      </c>
      <c r="B1182" s="37">
        <v>0.075</v>
      </c>
      <c r="C1182" s="37">
        <v>0.041</v>
      </c>
      <c r="D1182" s="37">
        <v>0.496</v>
      </c>
      <c r="E1182" s="37">
        <v>0.265</v>
      </c>
      <c r="F1182">
        <v>0.0691</v>
      </c>
      <c r="G1182">
        <v>12.9978</v>
      </c>
      <c r="I1182" s="38"/>
      <c r="J1182" s="39"/>
      <c r="K1182" s="39"/>
      <c r="L1182" s="39"/>
      <c r="M1182" s="39"/>
      <c r="N1182" s="40"/>
      <c r="O1182" s="40"/>
    </row>
    <row r="1183" spans="1:15">
      <c r="A1183" s="28" t="s">
        <v>1498</v>
      </c>
      <c r="B1183" s="37">
        <v>0.076</v>
      </c>
      <c r="C1183" s="37">
        <v>0.03</v>
      </c>
      <c r="D1183" s="37">
        <v>0.507</v>
      </c>
      <c r="E1183" s="37">
        <v>0.197</v>
      </c>
      <c r="F1183">
        <v>0.0687</v>
      </c>
      <c r="G1183">
        <v>12.8919</v>
      </c>
      <c r="I1183" s="38"/>
      <c r="J1183" s="39"/>
      <c r="K1183" s="39"/>
      <c r="L1183" s="39"/>
      <c r="M1183" s="39"/>
      <c r="N1183" s="40"/>
      <c r="O1183" s="40"/>
    </row>
    <row r="1184" spans="1:15">
      <c r="A1184" s="28" t="s">
        <v>1499</v>
      </c>
      <c r="B1184" s="37">
        <v>0.079</v>
      </c>
      <c r="C1184" s="37">
        <v>0.03</v>
      </c>
      <c r="D1184" s="37">
        <v>0.529</v>
      </c>
      <c r="E1184" s="37">
        <v>0.199</v>
      </c>
      <c r="F1184">
        <v>0.0685</v>
      </c>
      <c r="G1184">
        <v>12.7788</v>
      </c>
      <c r="I1184" s="38"/>
      <c r="J1184" s="39"/>
      <c r="K1184" s="39"/>
      <c r="L1184" s="39"/>
      <c r="M1184" s="39"/>
      <c r="N1184" s="40"/>
      <c r="O1184" s="40"/>
    </row>
    <row r="1185" spans="1:15">
      <c r="A1185" s="28" t="s">
        <v>1500</v>
      </c>
      <c r="B1185" s="37">
        <v>0.08</v>
      </c>
      <c r="C1185" s="37">
        <v>0.022</v>
      </c>
      <c r="D1185" s="37">
        <v>0.54</v>
      </c>
      <c r="E1185" s="37">
        <v>0.149</v>
      </c>
      <c r="F1185">
        <v>0.0683</v>
      </c>
      <c r="G1185">
        <v>12.6688</v>
      </c>
      <c r="I1185" s="38"/>
      <c r="J1185" s="39"/>
      <c r="K1185" s="39"/>
      <c r="L1185" s="39"/>
      <c r="M1185" s="39"/>
      <c r="N1185" s="40"/>
      <c r="O1185" s="40"/>
    </row>
    <row r="1186" spans="1:15">
      <c r="A1186" s="28" t="s">
        <v>1501</v>
      </c>
      <c r="B1186" s="37">
        <v>0.082</v>
      </c>
      <c r="C1186" s="37">
        <v>0.027</v>
      </c>
      <c r="D1186" s="37">
        <v>0.554</v>
      </c>
      <c r="E1186" s="37">
        <v>0.182</v>
      </c>
      <c r="F1186">
        <v>0.0681</v>
      </c>
      <c r="G1186">
        <v>12.566</v>
      </c>
      <c r="I1186" s="38"/>
      <c r="J1186" s="39"/>
      <c r="K1186" s="39"/>
      <c r="L1186" s="39"/>
      <c r="M1186" s="39"/>
      <c r="N1186" s="40"/>
      <c r="O1186" s="40"/>
    </row>
    <row r="1187" spans="1:15">
      <c r="A1187" s="28" t="s">
        <v>1502</v>
      </c>
      <c r="B1187" s="37">
        <v>0.079</v>
      </c>
      <c r="C1187" s="37">
        <v>0.022</v>
      </c>
      <c r="D1187" s="37">
        <v>0.538</v>
      </c>
      <c r="E1187" s="37">
        <v>0.151</v>
      </c>
      <c r="F1187">
        <v>0.0678</v>
      </c>
      <c r="G1187">
        <v>12.4347</v>
      </c>
      <c r="I1187" s="38"/>
      <c r="J1187" s="39"/>
      <c r="K1187" s="39"/>
      <c r="L1187" s="39"/>
      <c r="M1187" s="39"/>
      <c r="N1187" s="40"/>
      <c r="O1187" s="40"/>
    </row>
    <row r="1188" spans="1:15">
      <c r="A1188" s="28" t="s">
        <v>1503</v>
      </c>
      <c r="B1188" s="37">
        <v>0.074</v>
      </c>
      <c r="C1188" s="37">
        <v>0.034</v>
      </c>
      <c r="D1188" s="37">
        <v>0.508</v>
      </c>
      <c r="E1188" s="37">
        <v>0.232</v>
      </c>
      <c r="F1188">
        <v>0.0677</v>
      </c>
      <c r="G1188">
        <v>12.353</v>
      </c>
      <c r="I1188" s="38"/>
      <c r="J1188" s="39"/>
      <c r="K1188" s="39"/>
      <c r="L1188" s="39"/>
      <c r="M1188" s="39"/>
      <c r="N1188" s="40"/>
      <c r="O1188" s="40"/>
    </row>
    <row r="1189" spans="1:15">
      <c r="A1189" s="28" t="s">
        <v>1504</v>
      </c>
      <c r="B1189" s="37">
        <v>0.074</v>
      </c>
      <c r="C1189" s="37">
        <v>0.034</v>
      </c>
      <c r="D1189" s="37">
        <v>0.514</v>
      </c>
      <c r="E1189" s="37">
        <v>0.232</v>
      </c>
      <c r="F1189">
        <v>0.067</v>
      </c>
      <c r="G1189">
        <v>12.3437</v>
      </c>
      <c r="I1189" s="38"/>
      <c r="J1189" s="39"/>
      <c r="K1189" s="39"/>
      <c r="L1189" s="39"/>
      <c r="M1189" s="39"/>
      <c r="N1189" s="40"/>
      <c r="O1189" s="40"/>
    </row>
    <row r="1190" spans="1:15">
      <c r="A1190" s="28" t="s">
        <v>1505</v>
      </c>
      <c r="B1190" s="37">
        <v>0.072</v>
      </c>
      <c r="C1190" s="37">
        <v>0.042</v>
      </c>
      <c r="D1190" s="37">
        <v>0.504</v>
      </c>
      <c r="E1190" s="37">
        <v>0.288</v>
      </c>
      <c r="F1190">
        <v>0.0668</v>
      </c>
      <c r="G1190">
        <v>12.3008</v>
      </c>
      <c r="I1190" s="38"/>
      <c r="J1190" s="39"/>
      <c r="K1190" s="39"/>
      <c r="L1190" s="39"/>
      <c r="M1190" s="39"/>
      <c r="N1190" s="40"/>
      <c r="O1190" s="40"/>
    </row>
    <row r="1191" spans="1:15">
      <c r="A1191" s="28" t="s">
        <v>1506</v>
      </c>
      <c r="B1191" s="37">
        <v>0.07</v>
      </c>
      <c r="C1191" s="37">
        <v>0.043</v>
      </c>
      <c r="D1191" s="37">
        <v>0.495</v>
      </c>
      <c r="E1191" s="37">
        <v>0.303</v>
      </c>
      <c r="F1191">
        <v>0.0666</v>
      </c>
      <c r="G1191">
        <v>12.2545</v>
      </c>
      <c r="I1191" s="38"/>
      <c r="J1191" s="39"/>
      <c r="K1191" s="39"/>
      <c r="L1191" s="39"/>
      <c r="M1191" s="39"/>
      <c r="N1191" s="40"/>
      <c r="O1191" s="40"/>
    </row>
    <row r="1192" spans="1:15">
      <c r="A1192" s="28" t="s">
        <v>1507</v>
      </c>
      <c r="B1192" s="37">
        <v>0.067</v>
      </c>
      <c r="C1192" s="37">
        <v>0.037</v>
      </c>
      <c r="D1192" s="37">
        <v>0.476</v>
      </c>
      <c r="E1192" s="37">
        <v>0.259</v>
      </c>
      <c r="F1192">
        <v>0.0664</v>
      </c>
      <c r="G1192">
        <v>12.1081</v>
      </c>
      <c r="I1192" s="38"/>
      <c r="J1192" s="39"/>
      <c r="K1192" s="39"/>
      <c r="L1192" s="39"/>
      <c r="M1192" s="39"/>
      <c r="N1192" s="40"/>
      <c r="O1192" s="40"/>
    </row>
    <row r="1193" spans="1:15">
      <c r="A1193" s="28" t="s">
        <v>1508</v>
      </c>
      <c r="B1193" s="37">
        <v>0.066</v>
      </c>
      <c r="C1193" s="37">
        <v>0.022</v>
      </c>
      <c r="D1193" s="37">
        <v>0.471</v>
      </c>
      <c r="E1193" s="37">
        <v>0.161</v>
      </c>
      <c r="F1193">
        <v>0.0658</v>
      </c>
      <c r="G1193">
        <v>11.9875</v>
      </c>
      <c r="I1193" s="38"/>
      <c r="J1193" s="39"/>
      <c r="K1193" s="39"/>
      <c r="L1193" s="39"/>
      <c r="M1193" s="39"/>
      <c r="N1193" s="40"/>
      <c r="O1193" s="40"/>
    </row>
    <row r="1194" spans="1:15">
      <c r="A1194" s="28" t="s">
        <v>1509</v>
      </c>
      <c r="B1194" s="37">
        <v>0.068</v>
      </c>
      <c r="C1194" s="37">
        <v>0.023</v>
      </c>
      <c r="D1194" s="37">
        <v>0.495</v>
      </c>
      <c r="E1194" s="37">
        <v>0.167</v>
      </c>
      <c r="F1194">
        <v>0.065</v>
      </c>
      <c r="G1194">
        <v>11.868</v>
      </c>
      <c r="I1194" s="38"/>
      <c r="J1194" s="39"/>
      <c r="K1194" s="39"/>
      <c r="L1194" s="39"/>
      <c r="M1194" s="39"/>
      <c r="N1194" s="40"/>
      <c r="O1194" s="40"/>
    </row>
    <row r="1195" spans="1:15">
      <c r="A1195" s="28" t="s">
        <v>1510</v>
      </c>
      <c r="B1195" s="37">
        <v>0.067</v>
      </c>
      <c r="C1195" s="37">
        <v>0.028</v>
      </c>
      <c r="D1195" s="37">
        <v>0.487</v>
      </c>
      <c r="E1195" s="37">
        <v>0.202</v>
      </c>
      <c r="F1195">
        <v>0.0646</v>
      </c>
      <c r="G1195">
        <v>11.7318</v>
      </c>
      <c r="I1195" s="38"/>
      <c r="J1195" s="39"/>
      <c r="K1195" s="39"/>
      <c r="L1195" s="39"/>
      <c r="M1195" s="39"/>
      <c r="N1195" s="40"/>
      <c r="O1195" s="40"/>
    </row>
    <row r="1196" spans="1:15">
      <c r="A1196" s="28" t="s">
        <v>1511</v>
      </c>
      <c r="B1196" s="37">
        <v>0.066</v>
      </c>
      <c r="C1196" s="37">
        <v>0.023</v>
      </c>
      <c r="D1196" s="37">
        <v>0.485</v>
      </c>
      <c r="E1196" s="37">
        <v>0.172</v>
      </c>
      <c r="F1196">
        <v>0.0642</v>
      </c>
      <c r="G1196">
        <v>11.5847</v>
      </c>
      <c r="I1196" s="38"/>
      <c r="J1196" s="39"/>
      <c r="K1196" s="39"/>
      <c r="L1196" s="39"/>
      <c r="M1196" s="39"/>
      <c r="N1196" s="40"/>
      <c r="O1196" s="40"/>
    </row>
    <row r="1197" spans="1:15">
      <c r="A1197" s="28" t="s">
        <v>1512</v>
      </c>
      <c r="B1197" s="37">
        <v>0.065</v>
      </c>
      <c r="C1197" s="37">
        <v>0.025</v>
      </c>
      <c r="D1197" s="37">
        <v>0.486</v>
      </c>
      <c r="E1197" s="37">
        <v>0.183</v>
      </c>
      <c r="F1197">
        <v>0.0635</v>
      </c>
      <c r="G1197">
        <v>11.3448</v>
      </c>
      <c r="I1197" s="38"/>
      <c r="J1197" s="39"/>
      <c r="K1197" s="39"/>
      <c r="L1197" s="39"/>
      <c r="M1197" s="39"/>
      <c r="N1197" s="40"/>
      <c r="O1197" s="40"/>
    </row>
    <row r="1198" spans="1:15">
      <c r="A1198" s="28" t="s">
        <v>1513</v>
      </c>
      <c r="B1198" s="37">
        <v>0.066</v>
      </c>
      <c r="C1198" s="37">
        <v>0.029</v>
      </c>
      <c r="D1198" s="37">
        <v>0.496</v>
      </c>
      <c r="E1198" s="37">
        <v>0.216</v>
      </c>
      <c r="F1198">
        <v>0.0625</v>
      </c>
      <c r="G1198">
        <v>11.2006</v>
      </c>
      <c r="I1198" s="38"/>
      <c r="J1198" s="39"/>
      <c r="K1198" s="39"/>
      <c r="L1198" s="39"/>
      <c r="M1198" s="39"/>
      <c r="N1198" s="40"/>
      <c r="O1198" s="40"/>
    </row>
    <row r="1199" spans="1:15">
      <c r="A1199" s="28" t="s">
        <v>1514</v>
      </c>
      <c r="B1199" s="37">
        <v>0.062</v>
      </c>
      <c r="C1199" s="37">
        <v>0.027</v>
      </c>
      <c r="D1199" s="37">
        <v>0.47</v>
      </c>
      <c r="E1199" s="37">
        <v>0.203</v>
      </c>
      <c r="F1199">
        <v>0.0615</v>
      </c>
      <c r="G1199">
        <v>11.0534</v>
      </c>
      <c r="I1199" s="38"/>
      <c r="J1199" s="39"/>
      <c r="K1199" s="39"/>
      <c r="L1199" s="39"/>
      <c r="M1199" s="39"/>
      <c r="N1199" s="40"/>
      <c r="O1199" s="40"/>
    </row>
    <row r="1200" spans="1:15">
      <c r="A1200" s="28" t="s">
        <v>1515</v>
      </c>
      <c r="B1200" s="37">
        <v>0.062</v>
      </c>
      <c r="C1200" s="37">
        <v>0.024</v>
      </c>
      <c r="D1200" s="37">
        <v>0.479</v>
      </c>
      <c r="E1200" s="37">
        <v>0.185</v>
      </c>
      <c r="F1200">
        <v>0.0605</v>
      </c>
      <c r="G1200">
        <v>10.9394</v>
      </c>
      <c r="I1200" s="38"/>
      <c r="J1200" s="39"/>
      <c r="K1200" s="39"/>
      <c r="L1200" s="39"/>
      <c r="M1200" s="39"/>
      <c r="N1200" s="40"/>
      <c r="O1200" s="40"/>
    </row>
    <row r="1201" spans="1:15">
      <c r="A1201" s="28" t="s">
        <v>1516</v>
      </c>
      <c r="B1201" s="37">
        <v>0.062</v>
      </c>
      <c r="C1201" s="37">
        <v>0.016</v>
      </c>
      <c r="D1201" s="37">
        <v>0.484</v>
      </c>
      <c r="E1201" s="37">
        <v>0.127</v>
      </c>
      <c r="F1201">
        <v>0.0602</v>
      </c>
      <c r="G1201">
        <v>10.7757</v>
      </c>
      <c r="I1201" s="38"/>
      <c r="J1201" s="39"/>
      <c r="K1201" s="39"/>
      <c r="L1201" s="39"/>
      <c r="M1201" s="39"/>
      <c r="N1201" s="40"/>
      <c r="O1201" s="40"/>
    </row>
    <row r="1202" spans="1:15">
      <c r="A1202" s="28" t="s">
        <v>1517</v>
      </c>
      <c r="B1202" s="37">
        <v>0.062</v>
      </c>
      <c r="C1202" s="37">
        <v>0.014</v>
      </c>
      <c r="D1202" s="37">
        <v>0.492</v>
      </c>
      <c r="E1202" s="37">
        <v>0.111</v>
      </c>
      <c r="F1202">
        <v>0.0593</v>
      </c>
      <c r="G1202">
        <v>10.6611</v>
      </c>
      <c r="I1202" s="38"/>
      <c r="J1202" s="39"/>
      <c r="K1202" s="39"/>
      <c r="L1202" s="39"/>
      <c r="M1202" s="39"/>
      <c r="N1202" s="40"/>
      <c r="O1202" s="40"/>
    </row>
    <row r="1203" spans="1:15">
      <c r="A1203" s="28" t="s">
        <v>1518</v>
      </c>
      <c r="B1203" s="37">
        <v>0.062</v>
      </c>
      <c r="C1203" s="37">
        <v>0.025</v>
      </c>
      <c r="D1203" s="37">
        <v>0.498</v>
      </c>
      <c r="E1203" s="37">
        <v>0.202</v>
      </c>
      <c r="F1203">
        <v>0.0587</v>
      </c>
      <c r="G1203">
        <v>10.4217</v>
      </c>
      <c r="I1203" s="38"/>
      <c r="J1203" s="39"/>
      <c r="K1203" s="39"/>
      <c r="L1203" s="39"/>
      <c r="M1203" s="39"/>
      <c r="N1203" s="40"/>
      <c r="O1203" s="40"/>
    </row>
    <row r="1204" spans="1:15">
      <c r="A1204" s="28" t="s">
        <v>1519</v>
      </c>
      <c r="B1204" s="37">
        <v>0.061</v>
      </c>
      <c r="C1204" s="37">
        <v>0.025</v>
      </c>
      <c r="D1204" s="37">
        <v>0.492</v>
      </c>
      <c r="E1204" s="37">
        <v>0.205</v>
      </c>
      <c r="F1204">
        <v>0.0579</v>
      </c>
      <c r="G1204">
        <v>10.2805</v>
      </c>
      <c r="I1204" s="38"/>
      <c r="J1204" s="39"/>
      <c r="K1204" s="39"/>
      <c r="L1204" s="39"/>
      <c r="M1204" s="39"/>
      <c r="N1204" s="40"/>
      <c r="O1204" s="40"/>
    </row>
    <row r="1205" spans="1:15">
      <c r="A1205" s="28" t="s">
        <v>1520</v>
      </c>
      <c r="B1205" s="37">
        <v>0.06</v>
      </c>
      <c r="C1205" s="37">
        <v>0.022</v>
      </c>
      <c r="D1205" s="37">
        <v>0.494</v>
      </c>
      <c r="E1205" s="37">
        <v>0.182</v>
      </c>
      <c r="F1205">
        <v>0.0575</v>
      </c>
      <c r="G1205">
        <v>10.1556</v>
      </c>
      <c r="I1205" s="38"/>
      <c r="J1205" s="39"/>
      <c r="K1205" s="39"/>
      <c r="L1205" s="39"/>
      <c r="M1205" s="39"/>
      <c r="N1205" s="40"/>
      <c r="O1205" s="40"/>
    </row>
    <row r="1206" spans="1:15">
      <c r="A1206" s="28" t="s">
        <v>1521</v>
      </c>
      <c r="B1206" s="37">
        <v>0.058</v>
      </c>
      <c r="C1206" s="37">
        <v>0.022</v>
      </c>
      <c r="D1206" s="37">
        <v>0.482</v>
      </c>
      <c r="E1206" s="37">
        <v>0.185</v>
      </c>
      <c r="F1206">
        <v>0.0572</v>
      </c>
      <c r="G1206">
        <v>10.042</v>
      </c>
      <c r="I1206" s="38"/>
      <c r="J1206" s="39"/>
      <c r="K1206" s="39"/>
      <c r="L1206" s="39"/>
      <c r="M1206" s="39"/>
      <c r="N1206" s="40"/>
      <c r="O1206" s="40"/>
    </row>
    <row r="1207" spans="1:15">
      <c r="A1207" s="28" t="s">
        <v>1522</v>
      </c>
      <c r="B1207" s="37">
        <v>0.058</v>
      </c>
      <c r="C1207" s="37">
        <v>0.022</v>
      </c>
      <c r="D1207" s="37">
        <v>0.488</v>
      </c>
      <c r="E1207" s="37">
        <v>0.187</v>
      </c>
      <c r="F1207">
        <v>0.0571</v>
      </c>
      <c r="G1207">
        <v>9.9691</v>
      </c>
      <c r="I1207" s="38"/>
      <c r="J1207" s="39"/>
      <c r="K1207" s="39"/>
      <c r="L1207" s="39"/>
      <c r="M1207" s="39"/>
      <c r="N1207" s="40"/>
      <c r="O1207" s="40"/>
    </row>
    <row r="1208" spans="1:15">
      <c r="A1208" s="28" t="s">
        <v>1523</v>
      </c>
      <c r="B1208" s="37">
        <v>0.059</v>
      </c>
      <c r="C1208" s="37">
        <v>0.027</v>
      </c>
      <c r="D1208" s="37">
        <v>0.498</v>
      </c>
      <c r="E1208" s="37">
        <v>0.232</v>
      </c>
      <c r="F1208">
        <v>0.0568</v>
      </c>
      <c r="G1208">
        <v>9.8481</v>
      </c>
      <c r="I1208" s="38"/>
      <c r="J1208" s="39"/>
      <c r="K1208" s="39"/>
      <c r="L1208" s="39"/>
      <c r="M1208" s="39"/>
      <c r="N1208" s="40"/>
      <c r="O1208" s="40"/>
    </row>
    <row r="1209" spans="1:15">
      <c r="A1209" s="28" t="s">
        <v>1524</v>
      </c>
      <c r="B1209" s="37">
        <v>0.057</v>
      </c>
      <c r="C1209" s="37">
        <v>0.028</v>
      </c>
      <c r="D1209" s="37">
        <v>0.488</v>
      </c>
      <c r="E1209" s="37">
        <v>0.244</v>
      </c>
      <c r="F1209">
        <v>0.0565</v>
      </c>
      <c r="G1209">
        <v>9.7194</v>
      </c>
      <c r="I1209" s="38"/>
      <c r="J1209" s="39"/>
      <c r="K1209" s="39"/>
      <c r="L1209" s="39"/>
      <c r="M1209" s="39"/>
      <c r="N1209" s="40"/>
      <c r="O1209" s="40"/>
    </row>
    <row r="1210" spans="1:15">
      <c r="A1210" s="28" t="s">
        <v>1525</v>
      </c>
      <c r="B1210" s="37">
        <v>0.056</v>
      </c>
      <c r="C1210" s="37">
        <v>0.031</v>
      </c>
      <c r="D1210" s="37">
        <v>0.486</v>
      </c>
      <c r="E1210" s="37">
        <v>0.272</v>
      </c>
      <c r="F1210">
        <v>0.0561</v>
      </c>
      <c r="G1210">
        <v>9.6259</v>
      </c>
      <c r="I1210" s="38"/>
      <c r="J1210" s="39"/>
      <c r="K1210" s="39"/>
      <c r="L1210" s="39"/>
      <c r="M1210" s="39"/>
      <c r="N1210" s="40"/>
      <c r="O1210" s="40"/>
    </row>
    <row r="1211" spans="1:15">
      <c r="A1211" s="28" t="s">
        <v>1526</v>
      </c>
      <c r="B1211" s="37">
        <v>0.057</v>
      </c>
      <c r="C1211" s="37">
        <v>0.035</v>
      </c>
      <c r="D1211" s="37">
        <v>0.5</v>
      </c>
      <c r="E1211" s="37">
        <v>0.311</v>
      </c>
      <c r="F1211">
        <v>0.0555</v>
      </c>
      <c r="G1211">
        <v>9.5841</v>
      </c>
      <c r="I1211" s="38"/>
      <c r="J1211" s="39"/>
      <c r="K1211" s="39"/>
      <c r="L1211" s="39"/>
      <c r="M1211" s="39"/>
      <c r="N1211" s="40"/>
      <c r="O1211" s="40"/>
    </row>
    <row r="1212" spans="1:15">
      <c r="A1212" s="28" t="s">
        <v>1527</v>
      </c>
      <c r="B1212" s="37">
        <v>0.056</v>
      </c>
      <c r="C1212" s="37">
        <v>0.031</v>
      </c>
      <c r="D1212" s="37">
        <v>0.492</v>
      </c>
      <c r="E1212" s="37">
        <v>0.282</v>
      </c>
      <c r="F1212">
        <v>0.0552</v>
      </c>
      <c r="G1212">
        <v>9.4867</v>
      </c>
      <c r="I1212" s="38"/>
      <c r="J1212" s="39"/>
      <c r="K1212" s="39"/>
      <c r="L1212" s="39"/>
      <c r="M1212" s="39"/>
      <c r="N1212" s="40"/>
      <c r="O1212" s="40"/>
    </row>
    <row r="1213" spans="1:15">
      <c r="A1213" s="28" t="s">
        <v>1528</v>
      </c>
      <c r="B1213" s="37">
        <v>0.056</v>
      </c>
      <c r="C1213" s="37">
        <v>0.022</v>
      </c>
      <c r="D1213" s="37">
        <v>0.5</v>
      </c>
      <c r="E1213" s="37">
        <v>0.202</v>
      </c>
      <c r="F1213">
        <v>0.0548</v>
      </c>
      <c r="G1213">
        <v>9.3314</v>
      </c>
      <c r="I1213" s="38"/>
      <c r="J1213" s="39"/>
      <c r="K1213" s="39"/>
      <c r="L1213" s="39"/>
      <c r="M1213" s="39"/>
      <c r="N1213" s="40"/>
      <c r="O1213" s="40"/>
    </row>
    <row r="1214" spans="1:15">
      <c r="A1214" s="28" t="s">
        <v>1529</v>
      </c>
      <c r="B1214" s="37">
        <v>0.053</v>
      </c>
      <c r="C1214" s="37">
        <v>0.013</v>
      </c>
      <c r="D1214" s="37">
        <v>0.482</v>
      </c>
      <c r="E1214" s="37">
        <v>0.125</v>
      </c>
      <c r="F1214">
        <v>0.0542</v>
      </c>
      <c r="G1214">
        <v>9.2174</v>
      </c>
      <c r="I1214" s="38"/>
      <c r="J1214" s="39"/>
      <c r="K1214" s="39"/>
      <c r="L1214" s="39"/>
      <c r="M1214" s="39"/>
      <c r="N1214" s="40"/>
      <c r="O1214" s="40"/>
    </row>
    <row r="1215" spans="1:15">
      <c r="A1215" s="28" t="s">
        <v>1530</v>
      </c>
      <c r="B1215" s="37">
        <v>0.051</v>
      </c>
      <c r="C1215" s="37">
        <v>0.013</v>
      </c>
      <c r="D1215" s="37">
        <v>0.466</v>
      </c>
      <c r="E1215" s="37">
        <v>0.126</v>
      </c>
      <c r="F1215">
        <v>0.0534</v>
      </c>
      <c r="G1215">
        <v>9.128</v>
      </c>
      <c r="I1215" s="38"/>
      <c r="J1215" s="39"/>
      <c r="K1215" s="39"/>
      <c r="L1215" s="39"/>
      <c r="M1215" s="39"/>
      <c r="N1215" s="40"/>
      <c r="O1215" s="40"/>
    </row>
    <row r="1216" spans="1:15">
      <c r="A1216" s="28" t="s">
        <v>1531</v>
      </c>
      <c r="B1216" s="37">
        <v>0.051</v>
      </c>
      <c r="C1216" s="37">
        <v>0.013</v>
      </c>
      <c r="D1216" s="37">
        <v>0.472</v>
      </c>
      <c r="E1216" s="37">
        <v>0.127</v>
      </c>
      <c r="F1216">
        <v>0.0531</v>
      </c>
      <c r="G1216">
        <v>8.985</v>
      </c>
      <c r="I1216" s="38"/>
      <c r="J1216" s="39"/>
      <c r="K1216" s="39"/>
      <c r="L1216" s="39"/>
      <c r="M1216" s="39"/>
      <c r="N1216" s="40"/>
      <c r="O1216" s="40"/>
    </row>
    <row r="1217" spans="1:15">
      <c r="A1217" s="28" t="s">
        <v>1532</v>
      </c>
      <c r="B1217" s="37">
        <v>0.053</v>
      </c>
      <c r="C1217" s="37">
        <v>0.019</v>
      </c>
      <c r="D1217" s="37">
        <v>0.491</v>
      </c>
      <c r="E1217" s="37">
        <v>0.18</v>
      </c>
      <c r="F1217">
        <v>0.0526</v>
      </c>
      <c r="G1217">
        <v>8.8925</v>
      </c>
      <c r="I1217" s="38"/>
      <c r="J1217" s="39"/>
      <c r="K1217" s="39"/>
      <c r="L1217" s="39"/>
      <c r="M1217" s="39"/>
      <c r="N1217" s="40"/>
      <c r="O1217" s="40"/>
    </row>
    <row r="1218" spans="1:15">
      <c r="A1218" s="28" t="s">
        <v>1533</v>
      </c>
      <c r="B1218" s="37">
        <v>0.051</v>
      </c>
      <c r="C1218" s="37">
        <v>0.017</v>
      </c>
      <c r="D1218" s="37">
        <v>0.48</v>
      </c>
      <c r="E1218" s="37">
        <v>0.164</v>
      </c>
      <c r="F1218">
        <v>0.0519</v>
      </c>
      <c r="G1218">
        <v>8.7386</v>
      </c>
      <c r="I1218" s="38"/>
      <c r="J1218" s="39"/>
      <c r="K1218" s="39"/>
      <c r="L1218" s="39"/>
      <c r="M1218" s="39"/>
      <c r="N1218" s="40"/>
      <c r="O1218" s="40"/>
    </row>
    <row r="1219" spans="1:15">
      <c r="A1219" s="28" t="s">
        <v>1534</v>
      </c>
      <c r="B1219" s="37">
        <v>0.051</v>
      </c>
      <c r="C1219" s="37">
        <v>0.011</v>
      </c>
      <c r="D1219" s="37">
        <v>0.486</v>
      </c>
      <c r="E1219" s="37">
        <v>0.113</v>
      </c>
      <c r="F1219">
        <v>0.0512</v>
      </c>
      <c r="G1219">
        <v>8.6612</v>
      </c>
      <c r="I1219" s="38"/>
      <c r="J1219" s="39"/>
      <c r="K1219" s="39"/>
      <c r="L1219" s="39"/>
      <c r="M1219" s="39"/>
      <c r="N1219" s="40"/>
      <c r="O1219" s="40"/>
    </row>
    <row r="1220" spans="1:15">
      <c r="A1220" s="28" t="s">
        <v>1535</v>
      </c>
      <c r="B1220" s="37">
        <v>0.049</v>
      </c>
      <c r="C1220" s="37">
        <v>0.012</v>
      </c>
      <c r="D1220" s="37">
        <v>0.474</v>
      </c>
      <c r="E1220" s="37">
        <v>0.118</v>
      </c>
      <c r="F1220">
        <v>0.0508</v>
      </c>
      <c r="G1220">
        <v>8.5528</v>
      </c>
      <c r="I1220" s="38"/>
      <c r="J1220" s="39"/>
      <c r="K1220" s="39"/>
      <c r="L1220" s="39"/>
      <c r="M1220" s="39"/>
      <c r="N1220" s="40"/>
      <c r="O1220" s="40"/>
    </row>
    <row r="1221" spans="1:15">
      <c r="A1221" s="28" t="s">
        <v>1536</v>
      </c>
      <c r="B1221" s="37">
        <v>0.048</v>
      </c>
      <c r="C1221" s="37">
        <v>0.01</v>
      </c>
      <c r="D1221" s="37">
        <v>0.468</v>
      </c>
      <c r="E1221" s="37">
        <v>0.108</v>
      </c>
      <c r="F1221">
        <v>0.0505</v>
      </c>
      <c r="G1221">
        <v>8.5474</v>
      </c>
      <c r="I1221" s="38"/>
      <c r="J1221" s="39"/>
      <c r="K1221" s="39"/>
      <c r="L1221" s="39"/>
      <c r="M1221" s="39"/>
      <c r="N1221" s="40"/>
      <c r="O1221" s="40"/>
    </row>
    <row r="1222" spans="1:15">
      <c r="A1222" s="28" t="s">
        <v>1537</v>
      </c>
      <c r="B1222" s="37">
        <v>0.048</v>
      </c>
      <c r="C1222" s="37">
        <v>0.012</v>
      </c>
      <c r="D1222" s="37">
        <v>0.475</v>
      </c>
      <c r="E1222" s="37">
        <v>0.128</v>
      </c>
      <c r="F1222">
        <v>0.0502</v>
      </c>
      <c r="G1222">
        <v>8.4153</v>
      </c>
      <c r="I1222" s="38"/>
      <c r="J1222" s="39"/>
      <c r="K1222" s="39"/>
      <c r="L1222" s="39"/>
      <c r="M1222" s="39"/>
      <c r="N1222" s="40"/>
      <c r="O1222" s="40"/>
    </row>
    <row r="1223" spans="1:15">
      <c r="A1223" s="28" t="s">
        <v>1538</v>
      </c>
      <c r="B1223" s="37">
        <v>0.049</v>
      </c>
      <c r="C1223" s="37">
        <v>0.01</v>
      </c>
      <c r="D1223" s="37">
        <v>0.485</v>
      </c>
      <c r="E1223" s="37">
        <v>0.101</v>
      </c>
      <c r="F1223">
        <v>0.0498</v>
      </c>
      <c r="G1223">
        <v>8.3126</v>
      </c>
      <c r="I1223" s="38"/>
      <c r="J1223" s="39"/>
      <c r="K1223" s="39"/>
      <c r="L1223" s="39"/>
      <c r="M1223" s="39"/>
      <c r="N1223" s="40"/>
      <c r="O1223" s="40"/>
    </row>
    <row r="1224" spans="1:15">
      <c r="A1224" s="28" t="s">
        <v>1539</v>
      </c>
      <c r="B1224" s="37">
        <v>0.046</v>
      </c>
      <c r="C1224" s="37">
        <v>0.013</v>
      </c>
      <c r="D1224" s="37">
        <v>0.462</v>
      </c>
      <c r="E1224" s="37">
        <v>0.136</v>
      </c>
      <c r="F1224">
        <v>0.0492</v>
      </c>
      <c r="G1224">
        <v>8.1794</v>
      </c>
      <c r="I1224" s="38"/>
      <c r="J1224" s="39"/>
      <c r="K1224" s="39"/>
      <c r="L1224" s="39"/>
      <c r="M1224" s="39"/>
      <c r="N1224" s="40"/>
      <c r="O1224" s="40"/>
    </row>
    <row r="1225" spans="1:15">
      <c r="A1225" s="28" t="s">
        <v>1540</v>
      </c>
      <c r="B1225" s="37">
        <v>0.047</v>
      </c>
      <c r="C1225" s="37">
        <v>0.016</v>
      </c>
      <c r="D1225" s="37">
        <v>0.475</v>
      </c>
      <c r="E1225" s="37">
        <v>0.173</v>
      </c>
      <c r="F1225">
        <v>0.0486</v>
      </c>
      <c r="G1225">
        <v>8.0664</v>
      </c>
      <c r="I1225" s="38"/>
      <c r="J1225" s="39"/>
      <c r="K1225" s="39"/>
      <c r="L1225" s="39"/>
      <c r="M1225" s="39"/>
      <c r="N1225" s="40"/>
      <c r="O1225" s="40"/>
    </row>
    <row r="1226" spans="1:15">
      <c r="A1226" s="28" t="s">
        <v>1541</v>
      </c>
      <c r="B1226" s="37">
        <v>0.045</v>
      </c>
      <c r="C1226" s="37">
        <v>0.01</v>
      </c>
      <c r="D1226" s="37">
        <v>0.458</v>
      </c>
      <c r="E1226" s="37">
        <v>0.107</v>
      </c>
      <c r="F1226">
        <v>0.0485</v>
      </c>
      <c r="G1226">
        <v>7.9314</v>
      </c>
      <c r="I1226" s="38"/>
      <c r="J1226" s="39"/>
      <c r="K1226" s="39"/>
      <c r="L1226" s="39"/>
      <c r="M1226" s="39"/>
      <c r="N1226" s="40"/>
      <c r="O1226" s="40"/>
    </row>
    <row r="1227" spans="1:15">
      <c r="A1227" s="28" t="s">
        <v>1542</v>
      </c>
      <c r="B1227" s="37">
        <v>0.044</v>
      </c>
      <c r="C1227" s="37">
        <v>0.012</v>
      </c>
      <c r="D1227" s="37">
        <v>0.451</v>
      </c>
      <c r="E1227" s="37">
        <v>0.138</v>
      </c>
      <c r="F1227">
        <v>0.0479</v>
      </c>
      <c r="G1227">
        <v>7.8373</v>
      </c>
      <c r="I1227" s="38"/>
      <c r="J1227" s="39"/>
      <c r="K1227" s="39"/>
      <c r="L1227" s="39"/>
      <c r="M1227" s="39"/>
      <c r="N1227" s="40"/>
      <c r="O1227" s="40"/>
    </row>
    <row r="1228" spans="1:15">
      <c r="A1228" s="28" t="s">
        <v>1543</v>
      </c>
      <c r="B1228" s="37">
        <v>0.043</v>
      </c>
      <c r="C1228" s="37">
        <v>0.01</v>
      </c>
      <c r="D1228" s="37">
        <v>0.451</v>
      </c>
      <c r="E1228" s="37">
        <v>0.11</v>
      </c>
      <c r="F1228">
        <v>0.0478</v>
      </c>
      <c r="G1228">
        <v>7.7566</v>
      </c>
      <c r="I1228" s="38"/>
      <c r="J1228" s="39"/>
      <c r="K1228" s="39"/>
      <c r="L1228" s="39"/>
      <c r="M1228" s="39"/>
      <c r="N1228" s="40"/>
      <c r="O1228" s="40"/>
    </row>
    <row r="1229" spans="1:15">
      <c r="A1229" s="28" t="s">
        <v>1544</v>
      </c>
      <c r="B1229" s="37">
        <v>0.043</v>
      </c>
      <c r="C1229" s="37">
        <v>0.013</v>
      </c>
      <c r="D1229" s="37">
        <v>0.453</v>
      </c>
      <c r="E1229" s="37">
        <v>0.148</v>
      </c>
      <c r="F1229">
        <v>0.0474</v>
      </c>
      <c r="G1229">
        <v>7.6342</v>
      </c>
      <c r="I1229" s="38"/>
      <c r="J1229" s="39"/>
      <c r="K1229" s="39"/>
      <c r="L1229" s="39"/>
      <c r="M1229" s="39"/>
      <c r="N1229" s="40"/>
      <c r="O1229" s="40"/>
    </row>
    <row r="1230" spans="1:15">
      <c r="A1230" s="28" t="s">
        <v>1545</v>
      </c>
      <c r="B1230" s="37">
        <v>0.043</v>
      </c>
      <c r="C1230" s="37">
        <v>0.018</v>
      </c>
      <c r="D1230" s="37">
        <v>0.463</v>
      </c>
      <c r="E1230" s="37">
        <v>0.207</v>
      </c>
      <c r="F1230">
        <v>0.0471</v>
      </c>
      <c r="G1230">
        <v>7.559</v>
      </c>
      <c r="I1230" s="38"/>
      <c r="J1230" s="39"/>
      <c r="K1230" s="39"/>
      <c r="L1230" s="39"/>
      <c r="M1230" s="39"/>
      <c r="N1230" s="40"/>
      <c r="O1230" s="40"/>
    </row>
    <row r="1231" spans="1:15">
      <c r="A1231" s="28" t="s">
        <v>1546</v>
      </c>
      <c r="B1231" s="37">
        <v>0.043</v>
      </c>
      <c r="C1231" s="37">
        <v>0.019</v>
      </c>
      <c r="D1231" s="37">
        <v>0.465</v>
      </c>
      <c r="E1231" s="37">
        <v>0.224</v>
      </c>
      <c r="F1231">
        <v>0.0469</v>
      </c>
      <c r="G1231">
        <v>7.4597</v>
      </c>
      <c r="I1231" s="38"/>
      <c r="J1231" s="39"/>
      <c r="K1231" s="39"/>
      <c r="L1231" s="39"/>
      <c r="M1231" s="39"/>
      <c r="N1231" s="40"/>
      <c r="O1231" s="40"/>
    </row>
    <row r="1232" spans="1:15">
      <c r="A1232" s="28" t="s">
        <v>1547</v>
      </c>
      <c r="B1232" s="37">
        <v>0.042</v>
      </c>
      <c r="C1232" s="37">
        <v>0.019</v>
      </c>
      <c r="D1232" s="37">
        <v>0.46</v>
      </c>
      <c r="E1232" s="37">
        <v>0.226</v>
      </c>
      <c r="F1232">
        <v>0.0466</v>
      </c>
      <c r="G1232">
        <v>7.3399</v>
      </c>
      <c r="I1232" s="38"/>
      <c r="J1232" s="39"/>
      <c r="K1232" s="39"/>
      <c r="L1232" s="39"/>
      <c r="M1232" s="39"/>
      <c r="N1232" s="40"/>
      <c r="O1232" s="40"/>
    </row>
    <row r="1233" spans="1:15">
      <c r="A1233" s="28" t="s">
        <v>1548</v>
      </c>
      <c r="B1233" s="37">
        <v>0.045</v>
      </c>
      <c r="C1233" s="37">
        <v>0.016</v>
      </c>
      <c r="D1233" s="37">
        <v>0.491</v>
      </c>
      <c r="E1233" s="37">
        <v>0.194</v>
      </c>
      <c r="F1233">
        <v>0.046</v>
      </c>
      <c r="G1233">
        <v>7.2762</v>
      </c>
      <c r="I1233" s="38"/>
      <c r="J1233" s="39"/>
      <c r="K1233" s="39"/>
      <c r="L1233" s="39"/>
      <c r="M1233" s="39"/>
      <c r="N1233" s="40"/>
      <c r="O1233" s="40"/>
    </row>
    <row r="1234" spans="1:15">
      <c r="A1234" s="28" t="s">
        <v>1549</v>
      </c>
      <c r="B1234" s="37">
        <v>0.044</v>
      </c>
      <c r="C1234" s="37">
        <v>0.022</v>
      </c>
      <c r="D1234" s="37">
        <v>0.49</v>
      </c>
      <c r="E1234" s="37">
        <v>0.264</v>
      </c>
      <c r="F1234">
        <v>0.0458</v>
      </c>
      <c r="G1234">
        <v>7.2229</v>
      </c>
      <c r="I1234" s="38"/>
      <c r="J1234" s="39"/>
      <c r="K1234" s="39"/>
      <c r="L1234" s="39"/>
      <c r="M1234" s="39"/>
      <c r="N1234" s="40"/>
      <c r="O1234" s="40"/>
    </row>
    <row r="1235" spans="1:15">
      <c r="A1235" s="28" t="s">
        <v>1550</v>
      </c>
      <c r="B1235" s="37">
        <v>0.043</v>
      </c>
      <c r="C1235" s="37">
        <v>0.016</v>
      </c>
      <c r="D1235" s="37">
        <v>0.488</v>
      </c>
      <c r="E1235" s="37">
        <v>0.204</v>
      </c>
      <c r="F1235">
        <v>0.0457</v>
      </c>
      <c r="G1235">
        <v>7.0896</v>
      </c>
      <c r="I1235" s="38"/>
      <c r="J1235" s="39"/>
      <c r="K1235" s="39"/>
      <c r="L1235" s="39"/>
      <c r="M1235" s="39"/>
      <c r="N1235" s="40"/>
      <c r="O1235" s="40"/>
    </row>
    <row r="1236" spans="1:15">
      <c r="A1236" s="28" t="s">
        <v>1551</v>
      </c>
      <c r="B1236" s="37">
        <v>0.044</v>
      </c>
      <c r="C1236" s="37">
        <v>0.018</v>
      </c>
      <c r="D1236" s="37">
        <v>0.504</v>
      </c>
      <c r="E1236" s="37">
        <v>0.231</v>
      </c>
      <c r="F1236">
        <v>0.0456</v>
      </c>
      <c r="G1236">
        <v>6.965</v>
      </c>
      <c r="I1236" s="38"/>
      <c r="J1236" s="39"/>
      <c r="K1236" s="39"/>
      <c r="L1236" s="39"/>
      <c r="M1236" s="39"/>
      <c r="N1236" s="40"/>
      <c r="O1236" s="40"/>
    </row>
    <row r="1237" spans="1:15">
      <c r="A1237" s="28" t="s">
        <v>1552</v>
      </c>
      <c r="B1237" s="37">
        <v>0.044</v>
      </c>
      <c r="C1237" s="37">
        <v>0.018</v>
      </c>
      <c r="D1237" s="37">
        <v>0.503</v>
      </c>
      <c r="E1237" s="37">
        <v>0.234</v>
      </c>
      <c r="F1237">
        <v>0.0453</v>
      </c>
      <c r="G1237">
        <v>6.9072</v>
      </c>
      <c r="I1237" s="38"/>
      <c r="J1237" s="39"/>
      <c r="K1237" s="39"/>
      <c r="L1237" s="39"/>
      <c r="M1237" s="39"/>
      <c r="N1237" s="40"/>
      <c r="O1237" s="40"/>
    </row>
    <row r="1238" spans="1:15">
      <c r="A1238" s="28" t="s">
        <v>1553</v>
      </c>
      <c r="B1238" s="37">
        <v>0.043</v>
      </c>
      <c r="C1238" s="37">
        <v>0.013</v>
      </c>
      <c r="D1238" s="37">
        <v>0.498</v>
      </c>
      <c r="E1238" s="37">
        <v>0.165</v>
      </c>
      <c r="F1238">
        <v>0.045</v>
      </c>
      <c r="G1238">
        <v>6.8209</v>
      </c>
      <c r="I1238" s="38"/>
      <c r="J1238" s="39"/>
      <c r="K1238" s="39"/>
      <c r="L1238" s="39"/>
      <c r="M1238" s="39"/>
      <c r="N1238" s="40"/>
      <c r="O1238" s="40"/>
    </row>
    <row r="1239" spans="1:15">
      <c r="A1239" s="28" t="s">
        <v>1554</v>
      </c>
      <c r="B1239" s="37">
        <v>0.044</v>
      </c>
      <c r="C1239" s="37">
        <v>0.018</v>
      </c>
      <c r="D1239" s="37">
        <v>0.517</v>
      </c>
      <c r="E1239" s="37">
        <v>0.238</v>
      </c>
      <c r="F1239">
        <v>0.0449</v>
      </c>
      <c r="G1239">
        <v>6.7112</v>
      </c>
      <c r="I1239" s="38"/>
      <c r="J1239" s="39"/>
      <c r="K1239" s="39"/>
      <c r="L1239" s="39"/>
      <c r="M1239" s="39"/>
      <c r="N1239" s="40"/>
      <c r="O1239" s="40"/>
    </row>
    <row r="1240" spans="1:15">
      <c r="A1240" s="28" t="s">
        <v>1555</v>
      </c>
      <c r="B1240" s="37">
        <v>0.045</v>
      </c>
      <c r="C1240" s="37">
        <v>0.016</v>
      </c>
      <c r="D1240" s="37">
        <v>0.534</v>
      </c>
      <c r="E1240" s="37">
        <v>0.211</v>
      </c>
      <c r="F1240">
        <v>0.0445</v>
      </c>
      <c r="G1240">
        <v>6.6354</v>
      </c>
      <c r="I1240" s="38"/>
      <c r="J1240" s="39"/>
      <c r="K1240" s="39"/>
      <c r="L1240" s="39"/>
      <c r="M1240" s="39"/>
      <c r="N1240" s="40"/>
      <c r="O1240" s="40"/>
    </row>
    <row r="1241" spans="1:15">
      <c r="A1241" s="28" t="s">
        <v>1556</v>
      </c>
      <c r="B1241" s="37">
        <v>0.044</v>
      </c>
      <c r="C1241" s="37">
        <v>0.013</v>
      </c>
      <c r="D1241" s="37">
        <v>0.523</v>
      </c>
      <c r="E1241" s="37">
        <v>0.176</v>
      </c>
      <c r="F1241">
        <v>0.0442</v>
      </c>
      <c r="G1241">
        <v>6.5864</v>
      </c>
      <c r="I1241" s="38"/>
      <c r="J1241" s="39"/>
      <c r="K1241" s="39"/>
      <c r="L1241" s="39"/>
      <c r="M1241" s="39"/>
      <c r="N1241" s="40"/>
      <c r="O1241" s="40"/>
    </row>
    <row r="1242" spans="1:15">
      <c r="A1242" s="28" t="s">
        <v>1557</v>
      </c>
      <c r="B1242" s="37">
        <v>0.044</v>
      </c>
      <c r="C1242" s="37">
        <v>0.01</v>
      </c>
      <c r="D1242" s="37">
        <v>0.531</v>
      </c>
      <c r="E1242" s="37">
        <v>0.138</v>
      </c>
      <c r="F1242">
        <v>0.044</v>
      </c>
      <c r="G1242">
        <v>6.4878</v>
      </c>
      <c r="I1242" s="38"/>
      <c r="J1242" s="39"/>
      <c r="K1242" s="39"/>
      <c r="L1242" s="39"/>
      <c r="M1242" s="39"/>
      <c r="N1242" s="40"/>
      <c r="O1242" s="40"/>
    </row>
    <row r="1243" spans="1:15">
      <c r="A1243" s="28" t="s">
        <v>1558</v>
      </c>
      <c r="B1243" s="37">
        <v>0.043</v>
      </c>
      <c r="C1243" s="37">
        <v>0.01</v>
      </c>
      <c r="D1243" s="37">
        <v>0.528</v>
      </c>
      <c r="E1243" s="37">
        <v>0.139</v>
      </c>
      <c r="F1243">
        <v>0.0432</v>
      </c>
      <c r="G1243">
        <v>6.4091</v>
      </c>
      <c r="I1243" s="38"/>
      <c r="J1243" s="39"/>
      <c r="K1243" s="39"/>
      <c r="L1243" s="39"/>
      <c r="M1243" s="39"/>
      <c r="N1243" s="40"/>
      <c r="O1243" s="40"/>
    </row>
    <row r="1244" spans="1:15">
      <c r="A1244" s="28" t="s">
        <v>1559</v>
      </c>
      <c r="B1244" s="37">
        <v>0.043</v>
      </c>
      <c r="C1244" s="37">
        <v>0.007</v>
      </c>
      <c r="D1244" s="37">
        <v>0.531</v>
      </c>
      <c r="E1244" s="37">
        <v>0.103</v>
      </c>
      <c r="F1244">
        <v>0.043</v>
      </c>
      <c r="G1244">
        <v>6.2864</v>
      </c>
      <c r="I1244" s="38"/>
      <c r="J1244" s="39"/>
      <c r="K1244" s="39"/>
      <c r="L1244" s="39"/>
      <c r="M1244" s="39"/>
      <c r="N1244" s="40"/>
      <c r="O1244" s="40"/>
    </row>
    <row r="1245" spans="1:15">
      <c r="A1245" s="28" t="s">
        <v>1560</v>
      </c>
      <c r="B1245" s="37">
        <v>0.043</v>
      </c>
      <c r="C1245" s="37">
        <v>0.007</v>
      </c>
      <c r="D1245" s="37">
        <v>0.542</v>
      </c>
      <c r="E1245" s="37">
        <v>0.105</v>
      </c>
      <c r="F1245">
        <v>0.0427</v>
      </c>
      <c r="G1245">
        <v>6.2669</v>
      </c>
      <c r="I1245" s="38"/>
      <c r="J1245" s="39"/>
      <c r="K1245" s="39"/>
      <c r="L1245" s="39"/>
      <c r="M1245" s="39"/>
      <c r="N1245" s="40"/>
      <c r="O1245" s="40"/>
    </row>
    <row r="1246" spans="1:15">
      <c r="A1246" s="28" t="s">
        <v>1561</v>
      </c>
      <c r="B1246" s="37">
        <v>0.042</v>
      </c>
      <c r="C1246" s="37">
        <v>0.007</v>
      </c>
      <c r="D1246" s="37">
        <v>0.531</v>
      </c>
      <c r="E1246" s="37">
        <v>0.105</v>
      </c>
      <c r="F1246">
        <v>0.0426</v>
      </c>
      <c r="G1246">
        <v>6.1827</v>
      </c>
      <c r="I1246" s="38"/>
      <c r="J1246" s="39"/>
      <c r="K1246" s="39"/>
      <c r="L1246" s="39"/>
      <c r="M1246" s="39"/>
      <c r="N1246" s="40"/>
      <c r="O1246" s="40"/>
    </row>
    <row r="1247" spans="1:15">
      <c r="A1247" s="28" t="s">
        <v>1562</v>
      </c>
      <c r="B1247" s="37">
        <v>0.042</v>
      </c>
      <c r="C1247" s="37">
        <v>0.002</v>
      </c>
      <c r="D1247" s="37">
        <v>0.534</v>
      </c>
      <c r="E1247" s="37">
        <v>0.032</v>
      </c>
      <c r="F1247">
        <v>0.0426</v>
      </c>
      <c r="G1247">
        <v>6.1045</v>
      </c>
      <c r="I1247" s="38"/>
      <c r="J1247" s="39"/>
      <c r="K1247" s="39"/>
      <c r="L1247" s="39"/>
      <c r="M1247" s="39"/>
      <c r="N1247" s="40"/>
      <c r="O1247" s="40"/>
    </row>
    <row r="1248" spans="1:15">
      <c r="A1248" s="28" t="s">
        <v>1563</v>
      </c>
      <c r="B1248" s="37">
        <v>0.04</v>
      </c>
      <c r="C1248" s="37">
        <v>0.002</v>
      </c>
      <c r="D1248" s="37">
        <v>0.523</v>
      </c>
      <c r="E1248" s="37">
        <v>0.032</v>
      </c>
      <c r="F1248">
        <v>0.0421</v>
      </c>
      <c r="G1248">
        <v>5.9794</v>
      </c>
      <c r="I1248" s="38"/>
      <c r="J1248" s="39"/>
      <c r="K1248" s="39"/>
      <c r="L1248" s="39"/>
      <c r="M1248" s="39"/>
      <c r="N1248" s="40"/>
      <c r="O1248" s="40"/>
    </row>
    <row r="1249" spans="1:15">
      <c r="A1249" s="28" t="s">
        <v>1564</v>
      </c>
      <c r="B1249" s="37">
        <v>0.041</v>
      </c>
      <c r="C1249" s="37">
        <v>0.005</v>
      </c>
      <c r="D1249" s="37">
        <v>0.533</v>
      </c>
      <c r="E1249" s="37">
        <v>0.074</v>
      </c>
      <c r="F1249">
        <v>0.0418</v>
      </c>
      <c r="G1249">
        <v>5.8961</v>
      </c>
      <c r="I1249" s="38"/>
      <c r="J1249" s="39"/>
      <c r="K1249" s="39"/>
      <c r="L1249" s="39"/>
      <c r="M1249" s="39"/>
      <c r="N1249" s="40"/>
      <c r="O1249" s="40"/>
    </row>
    <row r="1250" spans="1:15">
      <c r="A1250" s="28" t="s">
        <v>1565</v>
      </c>
      <c r="B1250" s="37">
        <v>0.041</v>
      </c>
      <c r="C1250" s="37">
        <v>0.011</v>
      </c>
      <c r="D1250" s="37">
        <v>0.538</v>
      </c>
      <c r="E1250" s="37">
        <v>0.169</v>
      </c>
      <c r="F1250">
        <v>0.0418</v>
      </c>
      <c r="G1250">
        <v>5.8087</v>
      </c>
      <c r="I1250" s="38"/>
      <c r="J1250" s="39"/>
      <c r="K1250" s="39"/>
      <c r="L1250" s="39"/>
      <c r="M1250" s="39"/>
      <c r="N1250" s="40"/>
      <c r="O1250" s="40"/>
    </row>
    <row r="1251" spans="1:15">
      <c r="A1251" s="28" t="s">
        <v>1566</v>
      </c>
      <c r="B1251" s="37">
        <v>0.04</v>
      </c>
      <c r="C1251" s="37">
        <v>0.028</v>
      </c>
      <c r="D1251" s="37">
        <v>0.536</v>
      </c>
      <c r="E1251" s="37">
        <v>0.439</v>
      </c>
      <c r="F1251">
        <v>0.0416</v>
      </c>
      <c r="G1251">
        <v>5.7157</v>
      </c>
      <c r="I1251" s="38"/>
      <c r="J1251" s="39"/>
      <c r="K1251" s="39"/>
      <c r="L1251" s="39"/>
      <c r="M1251" s="39"/>
      <c r="N1251" s="40"/>
      <c r="O1251" s="40"/>
    </row>
    <row r="1252" spans="1:15">
      <c r="A1252" s="28" t="s">
        <v>1567</v>
      </c>
      <c r="B1252" s="37">
        <v>0.039</v>
      </c>
      <c r="C1252" s="37">
        <v>0.008</v>
      </c>
      <c r="D1252" s="37">
        <v>0.529</v>
      </c>
      <c r="E1252" s="37">
        <v>0.133</v>
      </c>
      <c r="F1252">
        <v>0.0414</v>
      </c>
      <c r="G1252">
        <v>5.6473</v>
      </c>
      <c r="I1252" s="38"/>
      <c r="J1252" s="39"/>
      <c r="K1252" s="39"/>
      <c r="L1252" s="39"/>
      <c r="M1252" s="39"/>
      <c r="N1252" s="40"/>
      <c r="O1252" s="40"/>
    </row>
    <row r="1253" spans="1:15">
      <c r="A1253" s="28" t="s">
        <v>1568</v>
      </c>
      <c r="B1253" s="37">
        <v>0.04</v>
      </c>
      <c r="C1253" s="37">
        <v>0.006</v>
      </c>
      <c r="D1253" s="37">
        <v>0.539</v>
      </c>
      <c r="E1253" s="37">
        <v>0.092</v>
      </c>
      <c r="F1253">
        <v>0.0413</v>
      </c>
      <c r="G1253">
        <v>5.538</v>
      </c>
      <c r="I1253" s="38"/>
      <c r="J1253" s="39"/>
      <c r="K1253" s="39"/>
      <c r="L1253" s="39"/>
      <c r="M1253" s="39"/>
      <c r="N1253" s="40"/>
      <c r="O1253" s="40"/>
    </row>
    <row r="1254" spans="1:15">
      <c r="A1254" s="28" t="s">
        <v>1569</v>
      </c>
      <c r="B1254" s="37">
        <v>0.037</v>
      </c>
      <c r="C1254" s="37">
        <v>0.006</v>
      </c>
      <c r="D1254" s="37">
        <v>0.515</v>
      </c>
      <c r="E1254" s="37">
        <v>0.092</v>
      </c>
      <c r="F1254">
        <v>0.041</v>
      </c>
      <c r="G1254">
        <v>5.498</v>
      </c>
      <c r="I1254" s="38"/>
      <c r="J1254" s="39"/>
      <c r="K1254" s="39"/>
      <c r="L1254" s="39"/>
      <c r="M1254" s="39"/>
      <c r="N1254" s="40"/>
      <c r="O1254" s="40"/>
    </row>
    <row r="1255" spans="1:15">
      <c r="A1255" s="28" t="s">
        <v>1570</v>
      </c>
      <c r="B1255" s="37">
        <v>0.037</v>
      </c>
      <c r="C1255" s="37">
        <v>0.006</v>
      </c>
      <c r="D1255" s="37">
        <v>0.514</v>
      </c>
      <c r="E1255" s="37">
        <v>0.093</v>
      </c>
      <c r="F1255">
        <v>0.0407</v>
      </c>
      <c r="G1255">
        <v>5.4531</v>
      </c>
      <c r="I1255" s="38"/>
      <c r="J1255" s="39"/>
      <c r="K1255" s="39"/>
      <c r="L1255" s="39"/>
      <c r="M1255" s="39"/>
      <c r="N1255" s="40"/>
      <c r="O1255" s="40"/>
    </row>
    <row r="1256" spans="1:15">
      <c r="A1256" s="28" t="s">
        <v>1571</v>
      </c>
      <c r="B1256" s="37">
        <v>0.036</v>
      </c>
      <c r="C1256" s="37">
        <v>0.006</v>
      </c>
      <c r="D1256" s="37">
        <v>0.51</v>
      </c>
      <c r="E1256" s="37">
        <v>0.093</v>
      </c>
      <c r="F1256">
        <v>0.0406</v>
      </c>
      <c r="G1256">
        <v>5.4177</v>
      </c>
      <c r="I1256" s="38"/>
      <c r="J1256" s="39"/>
      <c r="K1256" s="39"/>
      <c r="L1256" s="39"/>
      <c r="M1256" s="39"/>
      <c r="N1256" s="40"/>
      <c r="O1256" s="40"/>
    </row>
    <row r="1257" spans="1:15">
      <c r="A1257" s="28" t="s">
        <v>1572</v>
      </c>
      <c r="B1257" s="37">
        <v>0.037</v>
      </c>
      <c r="C1257" s="37">
        <v>0.006</v>
      </c>
      <c r="D1257" s="37">
        <v>0.528</v>
      </c>
      <c r="E1257" s="37">
        <v>0.094</v>
      </c>
      <c r="F1257">
        <v>0.0401</v>
      </c>
      <c r="G1257">
        <v>5.3199</v>
      </c>
      <c r="I1257" s="38"/>
      <c r="J1257" s="39"/>
      <c r="K1257" s="39"/>
      <c r="L1257" s="39"/>
      <c r="M1257" s="39"/>
      <c r="N1257" s="40"/>
      <c r="O1257" s="40"/>
    </row>
    <row r="1258" spans="1:15">
      <c r="A1258" s="28" t="s">
        <v>1573</v>
      </c>
      <c r="B1258" s="37">
        <v>0.038</v>
      </c>
      <c r="C1258" s="37">
        <v>0.006</v>
      </c>
      <c r="D1258" s="37">
        <v>0.543</v>
      </c>
      <c r="E1258" s="37">
        <v>0.094</v>
      </c>
      <c r="F1258">
        <v>0.0399</v>
      </c>
      <c r="G1258">
        <v>5.2456</v>
      </c>
      <c r="I1258" s="38"/>
      <c r="J1258" s="39"/>
      <c r="K1258" s="39"/>
      <c r="L1258" s="39"/>
      <c r="M1258" s="39"/>
      <c r="N1258" s="40"/>
      <c r="O1258" s="40"/>
    </row>
    <row r="1259" spans="1:15">
      <c r="A1259" s="28" t="s">
        <v>1574</v>
      </c>
      <c r="B1259" s="37">
        <v>0.037</v>
      </c>
      <c r="C1259" s="37">
        <v>0.006</v>
      </c>
      <c r="D1259" s="37">
        <v>0.537</v>
      </c>
      <c r="E1259" s="37">
        <v>0.096</v>
      </c>
      <c r="F1259">
        <v>0.0395</v>
      </c>
      <c r="G1259">
        <v>5.1304</v>
      </c>
      <c r="I1259" s="38"/>
      <c r="J1259" s="39"/>
      <c r="K1259" s="39"/>
      <c r="L1259" s="39"/>
      <c r="M1259" s="39"/>
      <c r="N1259" s="40"/>
      <c r="O1259" s="40"/>
    </row>
    <row r="1260" spans="1:15">
      <c r="A1260" s="28" t="s">
        <v>1575</v>
      </c>
      <c r="B1260" s="37">
        <v>0.038</v>
      </c>
      <c r="C1260" s="37">
        <v>0.006</v>
      </c>
      <c r="D1260" s="37">
        <v>0.559</v>
      </c>
      <c r="E1260" s="37">
        <v>0.098</v>
      </c>
      <c r="F1260">
        <v>0.0393</v>
      </c>
      <c r="G1260">
        <v>5.057</v>
      </c>
      <c r="I1260" s="38"/>
      <c r="J1260" s="39"/>
      <c r="K1260" s="39"/>
      <c r="L1260" s="39"/>
      <c r="M1260" s="39"/>
      <c r="N1260" s="40"/>
      <c r="O1260" s="40"/>
    </row>
    <row r="1261" spans="1:15">
      <c r="A1261" s="28" t="s">
        <v>1576</v>
      </c>
      <c r="B1261" s="37">
        <v>0.039</v>
      </c>
      <c r="C1261" s="37">
        <v>0.006</v>
      </c>
      <c r="D1261" s="37">
        <v>0.576</v>
      </c>
      <c r="E1261" s="37">
        <v>0.099</v>
      </c>
      <c r="F1261">
        <v>0.039</v>
      </c>
      <c r="G1261">
        <v>4.9456</v>
      </c>
      <c r="I1261" s="38"/>
      <c r="J1261" s="39"/>
      <c r="K1261" s="39"/>
      <c r="L1261" s="39"/>
      <c r="M1261" s="39"/>
      <c r="N1261" s="40"/>
      <c r="O1261" s="40"/>
    </row>
    <row r="1262" spans="1:15">
      <c r="A1262" s="28" t="s">
        <v>1577</v>
      </c>
      <c r="B1262" s="37">
        <v>0.037</v>
      </c>
      <c r="C1262" s="37">
        <v>0.01</v>
      </c>
      <c r="D1262" s="37">
        <v>0.557</v>
      </c>
      <c r="E1262" s="37">
        <v>0.176</v>
      </c>
      <c r="F1262">
        <v>0.0388</v>
      </c>
      <c r="G1262">
        <v>4.8656</v>
      </c>
      <c r="I1262" s="38"/>
      <c r="J1262" s="39"/>
      <c r="K1262" s="39"/>
      <c r="L1262" s="39"/>
      <c r="M1262" s="39"/>
      <c r="N1262" s="40"/>
      <c r="O1262" s="40"/>
    </row>
    <row r="1263" spans="1:15">
      <c r="A1263" s="28" t="s">
        <v>1578</v>
      </c>
      <c r="B1263" s="37">
        <v>0.038</v>
      </c>
      <c r="C1263" s="37">
        <v>0.008</v>
      </c>
      <c r="D1263" s="37">
        <v>0.584</v>
      </c>
      <c r="E1263" s="37">
        <v>0.142</v>
      </c>
      <c r="F1263">
        <v>0.0384</v>
      </c>
      <c r="G1263">
        <v>4.782</v>
      </c>
      <c r="I1263" s="38"/>
      <c r="J1263" s="39"/>
      <c r="K1263" s="39"/>
      <c r="L1263" s="39"/>
      <c r="M1263" s="39"/>
      <c r="N1263" s="40"/>
      <c r="O1263" s="40"/>
    </row>
    <row r="1264" spans="1:15">
      <c r="A1264" s="28" t="s">
        <v>1579</v>
      </c>
      <c r="B1264" s="37">
        <v>0.039</v>
      </c>
      <c r="C1264" s="37">
        <v>0.008</v>
      </c>
      <c r="D1264" s="37">
        <v>0.598</v>
      </c>
      <c r="E1264" s="37">
        <v>0.143</v>
      </c>
      <c r="F1264">
        <v>0.0379</v>
      </c>
      <c r="G1264">
        <v>4.6893</v>
      </c>
      <c r="I1264" s="38"/>
      <c r="J1264" s="39"/>
      <c r="K1264" s="39"/>
      <c r="L1264" s="39"/>
      <c r="M1264" s="39"/>
      <c r="N1264" s="40"/>
      <c r="O1264" s="40"/>
    </row>
    <row r="1265" spans="1:15">
      <c r="A1265" s="28" t="s">
        <v>1580</v>
      </c>
      <c r="B1265" s="37">
        <v>0.036</v>
      </c>
      <c r="C1265" s="37">
        <v>0.008</v>
      </c>
      <c r="D1265" s="37">
        <v>0.565</v>
      </c>
      <c r="E1265" s="37">
        <v>0.145</v>
      </c>
      <c r="F1265">
        <v>0.0376</v>
      </c>
      <c r="G1265">
        <v>4.6476</v>
      </c>
      <c r="I1265" s="38"/>
      <c r="J1265" s="39"/>
      <c r="K1265" s="39"/>
      <c r="L1265" s="39"/>
      <c r="M1265" s="39"/>
      <c r="N1265" s="40"/>
      <c r="O1265" s="40"/>
    </row>
    <row r="1266" spans="1:15">
      <c r="A1266" s="28" t="s">
        <v>1581</v>
      </c>
      <c r="B1266" s="37">
        <v>0.035</v>
      </c>
      <c r="C1266" s="37">
        <v>0.008</v>
      </c>
      <c r="D1266" s="37">
        <v>0.546</v>
      </c>
      <c r="E1266" s="37">
        <v>0.149</v>
      </c>
      <c r="F1266">
        <v>0.0373</v>
      </c>
      <c r="G1266">
        <v>4.5539</v>
      </c>
      <c r="I1266" s="38"/>
      <c r="J1266" s="39"/>
      <c r="K1266" s="39"/>
      <c r="L1266" s="39"/>
      <c r="M1266" s="39"/>
      <c r="N1266" s="40"/>
      <c r="O1266" s="40"/>
    </row>
    <row r="1267" spans="1:15">
      <c r="A1267" s="28" t="s">
        <v>1582</v>
      </c>
      <c r="B1267" s="37">
        <v>0.034</v>
      </c>
      <c r="C1267" s="37">
        <v>0.01</v>
      </c>
      <c r="D1267" s="37">
        <v>0.552</v>
      </c>
      <c r="E1267" s="37">
        <v>0.194</v>
      </c>
      <c r="F1267">
        <v>0.0368</v>
      </c>
      <c r="G1267">
        <v>4.486</v>
      </c>
      <c r="I1267" s="38"/>
      <c r="J1267" s="39"/>
      <c r="K1267" s="39"/>
      <c r="L1267" s="39"/>
      <c r="M1267" s="39"/>
      <c r="N1267" s="40"/>
      <c r="O1267" s="40"/>
    </row>
    <row r="1268" spans="1:15">
      <c r="A1268" s="28" t="s">
        <v>1583</v>
      </c>
      <c r="B1268" s="37">
        <v>0.033</v>
      </c>
      <c r="C1268" s="37">
        <v>0.008</v>
      </c>
      <c r="D1268" s="37">
        <v>0.531</v>
      </c>
      <c r="E1268" s="37">
        <v>0.154</v>
      </c>
      <c r="F1268">
        <v>0.0363</v>
      </c>
      <c r="G1268">
        <v>4.4677</v>
      </c>
      <c r="I1268" s="38"/>
      <c r="J1268" s="39"/>
      <c r="K1268" s="39"/>
      <c r="L1268" s="39"/>
      <c r="M1268" s="39"/>
      <c r="N1268" s="40"/>
      <c r="O1268" s="40"/>
    </row>
    <row r="1269" spans="1:15">
      <c r="A1269" s="28" t="s">
        <v>1584</v>
      </c>
      <c r="B1269" s="37">
        <v>0.03</v>
      </c>
      <c r="C1269" s="37">
        <v>0.008</v>
      </c>
      <c r="D1269" s="37">
        <v>0.489</v>
      </c>
      <c r="E1269" s="37">
        <v>0.156</v>
      </c>
      <c r="F1269">
        <v>0.0363</v>
      </c>
      <c r="G1269">
        <v>4.3882</v>
      </c>
      <c r="I1269" s="38"/>
      <c r="J1269" s="39"/>
      <c r="K1269" s="39"/>
      <c r="L1269" s="39"/>
      <c r="M1269" s="39"/>
      <c r="N1269" s="40"/>
      <c r="O1269" s="40"/>
    </row>
    <row r="1270" spans="1:15">
      <c r="A1270" s="28" t="s">
        <v>1585</v>
      </c>
      <c r="B1270" s="37">
        <v>0.029</v>
      </c>
      <c r="C1270" s="37">
        <v>0.008</v>
      </c>
      <c r="D1270" s="37">
        <v>0.48</v>
      </c>
      <c r="E1270" s="37">
        <v>0.159</v>
      </c>
      <c r="F1270">
        <v>0.0361</v>
      </c>
      <c r="G1270">
        <v>4.3584</v>
      </c>
      <c r="I1270" s="38"/>
      <c r="J1270" s="39"/>
      <c r="K1270" s="39"/>
      <c r="L1270" s="39"/>
      <c r="M1270" s="39"/>
      <c r="N1270" s="40"/>
      <c r="O1270" s="40"/>
    </row>
    <row r="1271" spans="1:15">
      <c r="A1271" s="28" t="s">
        <v>1586</v>
      </c>
      <c r="B1271" s="37">
        <v>0.029</v>
      </c>
      <c r="C1271" s="37">
        <v>0.008</v>
      </c>
      <c r="D1271" s="37">
        <v>0.486</v>
      </c>
      <c r="E1271" s="37">
        <v>0.16</v>
      </c>
      <c r="F1271">
        <v>0.0356</v>
      </c>
      <c r="G1271">
        <v>4.3137</v>
      </c>
      <c r="I1271" s="38"/>
      <c r="J1271" s="39"/>
      <c r="K1271" s="39"/>
      <c r="L1271" s="39"/>
      <c r="M1271" s="39"/>
      <c r="N1271" s="40"/>
      <c r="O1271" s="40"/>
    </row>
    <row r="1272" spans="1:15">
      <c r="A1272" s="28" t="s">
        <v>1587</v>
      </c>
      <c r="B1272" s="37">
        <v>0.028</v>
      </c>
      <c r="C1272" s="37">
        <v>0.008</v>
      </c>
      <c r="D1272" s="37">
        <v>0.482</v>
      </c>
      <c r="E1272" s="37">
        <v>0.163</v>
      </c>
      <c r="F1272">
        <v>0.0355</v>
      </c>
      <c r="G1272">
        <v>4.2496</v>
      </c>
      <c r="I1272" s="38"/>
      <c r="J1272" s="39"/>
      <c r="K1272" s="39"/>
      <c r="L1272" s="39"/>
      <c r="M1272" s="39"/>
      <c r="N1272" s="40"/>
      <c r="O1272" s="40"/>
    </row>
    <row r="1273" spans="1:15">
      <c r="A1273" s="28" t="s">
        <v>1588</v>
      </c>
      <c r="B1273" s="37">
        <v>0.031</v>
      </c>
      <c r="C1273" s="37">
        <v>0.017</v>
      </c>
      <c r="D1273" s="37">
        <v>0.531</v>
      </c>
      <c r="E1273" s="37">
        <v>0.36</v>
      </c>
      <c r="F1273">
        <v>0.0354</v>
      </c>
      <c r="G1273">
        <v>4.2024</v>
      </c>
      <c r="I1273" s="38"/>
      <c r="J1273" s="39"/>
      <c r="K1273" s="39"/>
      <c r="L1273" s="39"/>
      <c r="M1273" s="39"/>
      <c r="N1273" s="40"/>
      <c r="O1273" s="40"/>
    </row>
    <row r="1274" spans="1:15">
      <c r="A1274" s="28" t="s">
        <v>1589</v>
      </c>
      <c r="B1274" s="37">
        <v>0.031</v>
      </c>
      <c r="C1274" s="37">
        <v>0.013</v>
      </c>
      <c r="D1274" s="37">
        <v>0.546</v>
      </c>
      <c r="E1274" s="37">
        <v>0.271</v>
      </c>
      <c r="F1274">
        <v>0.035</v>
      </c>
      <c r="G1274">
        <v>4.1614</v>
      </c>
      <c r="I1274" s="38"/>
      <c r="J1274" s="39"/>
      <c r="K1274" s="39"/>
      <c r="L1274" s="39"/>
      <c r="M1274" s="39"/>
      <c r="N1274" s="40"/>
      <c r="O1274" s="40"/>
    </row>
    <row r="1275" spans="1:15">
      <c r="A1275" s="28" t="s">
        <v>1590</v>
      </c>
      <c r="B1275" s="37">
        <v>0.031</v>
      </c>
      <c r="C1275" s="37">
        <v>0.005</v>
      </c>
      <c r="D1275" s="37">
        <v>0.542</v>
      </c>
      <c r="E1275" s="37">
        <v>0.109</v>
      </c>
      <c r="F1275">
        <v>0.0349</v>
      </c>
      <c r="G1275">
        <v>4.0981</v>
      </c>
      <c r="I1275" s="38"/>
      <c r="J1275" s="39"/>
      <c r="K1275" s="39"/>
      <c r="L1275" s="39"/>
      <c r="M1275" s="39"/>
      <c r="N1275" s="40"/>
      <c r="O1275" s="40"/>
    </row>
    <row r="1276" spans="1:15">
      <c r="A1276" s="28" t="s">
        <v>1591</v>
      </c>
      <c r="B1276" s="37">
        <v>0.03</v>
      </c>
      <c r="C1276" s="37">
        <v>0.005</v>
      </c>
      <c r="D1276" s="37">
        <v>0.54</v>
      </c>
      <c r="E1276" s="37">
        <v>0.11</v>
      </c>
      <c r="F1276">
        <v>0.0346</v>
      </c>
      <c r="G1276">
        <v>4.067</v>
      </c>
      <c r="I1276" s="38"/>
      <c r="J1276" s="39"/>
      <c r="K1276" s="39"/>
      <c r="L1276" s="39"/>
      <c r="M1276" s="39"/>
      <c r="N1276" s="40"/>
      <c r="O1276" s="40"/>
    </row>
    <row r="1277" spans="1:15">
      <c r="A1277" s="28" t="s">
        <v>1592</v>
      </c>
      <c r="B1277" s="37">
        <v>0.028</v>
      </c>
      <c r="C1277" s="37">
        <v>0.005</v>
      </c>
      <c r="D1277" s="37">
        <v>0.497</v>
      </c>
      <c r="E1277" s="37">
        <v>0.111</v>
      </c>
      <c r="F1277">
        <v>0.0344</v>
      </c>
      <c r="G1277">
        <v>3.966</v>
      </c>
      <c r="I1277" s="38"/>
      <c r="J1277" s="39"/>
      <c r="K1277" s="39"/>
      <c r="L1277" s="39"/>
      <c r="M1277" s="39"/>
      <c r="N1277" s="40"/>
      <c r="O1277" s="40"/>
    </row>
    <row r="1278" spans="1:15">
      <c r="A1278" s="28" t="s">
        <v>1593</v>
      </c>
      <c r="B1278" s="37">
        <v>0.027</v>
      </c>
      <c r="C1278" s="37">
        <v>0.005</v>
      </c>
      <c r="D1278" s="37">
        <v>0.498</v>
      </c>
      <c r="E1278" s="37">
        <v>0.114</v>
      </c>
      <c r="F1278">
        <v>0.0342</v>
      </c>
      <c r="G1278">
        <v>3.9142</v>
      </c>
      <c r="I1278" s="38"/>
      <c r="J1278" s="39"/>
      <c r="K1278" s="39"/>
      <c r="L1278" s="39"/>
      <c r="M1278" s="39"/>
      <c r="N1278" s="40"/>
      <c r="O1278" s="40"/>
    </row>
    <row r="1279" spans="1:15">
      <c r="A1279" s="28" t="s">
        <v>1594</v>
      </c>
      <c r="B1279" s="37">
        <v>0.026</v>
      </c>
      <c r="C1279" s="37">
        <v>0.005</v>
      </c>
      <c r="D1279" s="37">
        <v>0.481</v>
      </c>
      <c r="E1279" s="37">
        <v>0.113</v>
      </c>
      <c r="F1279">
        <v>0.034</v>
      </c>
      <c r="G1279">
        <v>3.9008</v>
      </c>
      <c r="I1279" s="38"/>
      <c r="J1279" s="39"/>
      <c r="K1279" s="39"/>
      <c r="L1279" s="39"/>
      <c r="M1279" s="39"/>
      <c r="N1279" s="40"/>
      <c r="O1279" s="40"/>
    </row>
    <row r="1280" spans="1:15">
      <c r="A1280" s="28" t="s">
        <v>1595</v>
      </c>
      <c r="B1280" s="37">
        <v>0.023</v>
      </c>
      <c r="C1280" s="37">
        <v>0.005</v>
      </c>
      <c r="D1280" s="37">
        <v>0.425</v>
      </c>
      <c r="E1280" s="37">
        <v>0.106</v>
      </c>
      <c r="F1280">
        <v>0.0336</v>
      </c>
      <c r="G1280">
        <v>3.8836</v>
      </c>
      <c r="I1280" s="38"/>
      <c r="J1280" s="39"/>
      <c r="K1280" s="39"/>
      <c r="L1280" s="39"/>
      <c r="M1280" s="39"/>
      <c r="N1280" s="40"/>
      <c r="O1280" s="40"/>
    </row>
    <row r="1281" spans="1:15">
      <c r="A1281" s="28" t="s">
        <v>1596</v>
      </c>
      <c r="B1281" s="37">
        <v>0.022</v>
      </c>
      <c r="C1281" s="37">
        <v>0.005</v>
      </c>
      <c r="D1281" s="37">
        <v>0.419</v>
      </c>
      <c r="E1281" s="37">
        <v>0.107</v>
      </c>
      <c r="F1281">
        <v>0.0337</v>
      </c>
      <c r="G1281">
        <v>3.8107</v>
      </c>
      <c r="I1281" s="38"/>
      <c r="J1281" s="39"/>
      <c r="K1281" s="39"/>
      <c r="L1281" s="39"/>
      <c r="M1281" s="39"/>
      <c r="N1281" s="40"/>
      <c r="O1281" s="40"/>
    </row>
    <row r="1282" spans="1:15">
      <c r="A1282" s="28" t="s">
        <v>1597</v>
      </c>
      <c r="B1282" s="37">
        <v>0.022</v>
      </c>
      <c r="C1282" s="37">
        <v>0.005</v>
      </c>
      <c r="D1282" s="37">
        <v>0.411</v>
      </c>
      <c r="E1282" s="37">
        <v>0.109</v>
      </c>
      <c r="F1282">
        <v>0.0335</v>
      </c>
      <c r="G1282">
        <v>3.7793</v>
      </c>
      <c r="I1282" s="38"/>
      <c r="J1282" s="39"/>
      <c r="K1282" s="39"/>
      <c r="L1282" s="39"/>
      <c r="M1282" s="39"/>
      <c r="N1282" s="40"/>
      <c r="O1282" s="40"/>
    </row>
    <row r="1283" spans="1:15">
      <c r="A1283" s="28" t="s">
        <v>1598</v>
      </c>
      <c r="B1283" s="37">
        <v>0.022</v>
      </c>
      <c r="C1283" s="37">
        <v>0.006</v>
      </c>
      <c r="D1283" s="37">
        <v>0.422</v>
      </c>
      <c r="E1283" s="37">
        <v>0.148</v>
      </c>
      <c r="F1283">
        <v>0.0332</v>
      </c>
      <c r="G1283">
        <v>3.7112</v>
      </c>
      <c r="I1283" s="38"/>
      <c r="J1283" s="39"/>
      <c r="K1283" s="39"/>
      <c r="L1283" s="39"/>
      <c r="M1283" s="39"/>
      <c r="N1283" s="40"/>
      <c r="O1283" s="40"/>
    </row>
    <row r="1284" spans="1:15">
      <c r="A1284" s="28" t="s">
        <v>1599</v>
      </c>
      <c r="B1284" s="37">
        <v>0.022</v>
      </c>
      <c r="C1284" s="37">
        <v>0.005</v>
      </c>
      <c r="D1284" s="37">
        <v>0.43</v>
      </c>
      <c r="E1284" s="37">
        <v>0.112</v>
      </c>
      <c r="F1284">
        <v>0.0331</v>
      </c>
      <c r="G1284">
        <v>3.6445</v>
      </c>
      <c r="I1284" s="38"/>
      <c r="J1284" s="39"/>
      <c r="K1284" s="39"/>
      <c r="L1284" s="39"/>
      <c r="M1284" s="39"/>
      <c r="N1284" s="40"/>
      <c r="O1284" s="40"/>
    </row>
    <row r="1285" spans="1:15">
      <c r="A1285" s="28" t="s">
        <v>1600</v>
      </c>
      <c r="B1285" s="37">
        <v>0.025</v>
      </c>
      <c r="C1285" s="37">
        <v>0.005</v>
      </c>
      <c r="D1285" s="37">
        <v>0.486</v>
      </c>
      <c r="E1285" s="37">
        <v>0.115</v>
      </c>
      <c r="F1285">
        <v>0.0331</v>
      </c>
      <c r="G1285">
        <v>3.6071</v>
      </c>
      <c r="I1285" s="38"/>
      <c r="J1285" s="39"/>
      <c r="K1285" s="39"/>
      <c r="L1285" s="39"/>
      <c r="M1285" s="39"/>
      <c r="N1285" s="40"/>
      <c r="O1285" s="40"/>
    </row>
    <row r="1286" spans="1:15">
      <c r="A1286" s="28" t="s">
        <v>1601</v>
      </c>
      <c r="B1286" s="37">
        <v>0.025</v>
      </c>
      <c r="C1286" s="37">
        <v>0.002</v>
      </c>
      <c r="D1286" s="37">
        <v>0.499</v>
      </c>
      <c r="E1286" s="37">
        <v>0.061</v>
      </c>
      <c r="F1286">
        <v>0.0329</v>
      </c>
      <c r="G1286">
        <v>3.5515</v>
      </c>
      <c r="I1286" s="38"/>
      <c r="J1286" s="39"/>
      <c r="K1286" s="39"/>
      <c r="L1286" s="39"/>
      <c r="M1286" s="39"/>
      <c r="N1286" s="40"/>
      <c r="O1286" s="40"/>
    </row>
    <row r="1287" spans="1:15">
      <c r="A1287" s="28" t="s">
        <v>1602</v>
      </c>
      <c r="B1287" s="37">
        <v>0.024</v>
      </c>
      <c r="C1287" s="37">
        <v>0.002</v>
      </c>
      <c r="D1287" s="37">
        <v>0.486</v>
      </c>
      <c r="E1287" s="37">
        <v>0.062</v>
      </c>
      <c r="F1287">
        <v>0.0326</v>
      </c>
      <c r="G1287">
        <v>3.5135</v>
      </c>
      <c r="I1287" s="38"/>
      <c r="J1287" s="39"/>
      <c r="K1287" s="39"/>
      <c r="L1287" s="39"/>
      <c r="M1287" s="39"/>
      <c r="N1287" s="40"/>
      <c r="O1287" s="40"/>
    </row>
    <row r="1288" spans="1:15">
      <c r="A1288" s="28" t="s">
        <v>1603</v>
      </c>
      <c r="B1288" s="37">
        <v>0.023</v>
      </c>
      <c r="C1288" s="37">
        <v>0.002</v>
      </c>
      <c r="D1288" s="37">
        <v>0.469</v>
      </c>
      <c r="E1288" s="37">
        <v>0.063</v>
      </c>
      <c r="F1288">
        <v>0.0323</v>
      </c>
      <c r="G1288">
        <v>3.4681</v>
      </c>
      <c r="I1288" s="38"/>
      <c r="J1288" s="39"/>
      <c r="K1288" s="39"/>
      <c r="L1288" s="39"/>
      <c r="M1288" s="39"/>
      <c r="N1288" s="40"/>
      <c r="O1288" s="40"/>
    </row>
    <row r="1289" spans="1:15">
      <c r="A1289" s="28" t="s">
        <v>1604</v>
      </c>
      <c r="B1289" s="37">
        <v>0.023</v>
      </c>
      <c r="C1289" s="37">
        <v>0</v>
      </c>
      <c r="D1289" s="37">
        <v>0.479</v>
      </c>
      <c r="E1289" s="37">
        <v>0</v>
      </c>
      <c r="F1289">
        <v>0.032</v>
      </c>
      <c r="G1289">
        <v>3.4443</v>
      </c>
      <c r="I1289" s="38"/>
      <c r="J1289" s="39"/>
      <c r="K1289" s="39"/>
      <c r="L1289" s="39"/>
      <c r="M1289" s="39"/>
      <c r="N1289" s="40"/>
      <c r="O1289" s="40"/>
    </row>
    <row r="1290" spans="1:15">
      <c r="A1290" s="28" t="s">
        <v>1605</v>
      </c>
      <c r="B1290" s="37">
        <v>0.022</v>
      </c>
      <c r="C1290" s="37">
        <v>0</v>
      </c>
      <c r="D1290" s="37">
        <v>0.464</v>
      </c>
      <c r="E1290" s="37">
        <v>0</v>
      </c>
      <c r="F1290">
        <v>0.0316</v>
      </c>
      <c r="G1290">
        <v>3.4055</v>
      </c>
      <c r="I1290" s="38"/>
      <c r="J1290" s="39"/>
      <c r="K1290" s="39"/>
      <c r="L1290" s="39"/>
      <c r="M1290" s="39"/>
      <c r="N1290" s="40"/>
      <c r="O1290" s="40"/>
    </row>
    <row r="1291" spans="1:15">
      <c r="A1291" s="28" t="s">
        <v>1606</v>
      </c>
      <c r="B1291" s="37">
        <v>0.023</v>
      </c>
      <c r="C1291" s="37">
        <v>0</v>
      </c>
      <c r="D1291" s="37">
        <v>0.49</v>
      </c>
      <c r="E1291" s="37">
        <v>0</v>
      </c>
      <c r="F1291">
        <v>0.0314</v>
      </c>
      <c r="G1291">
        <v>3.3688</v>
      </c>
      <c r="I1291" s="38"/>
      <c r="J1291" s="39"/>
      <c r="K1291" s="39"/>
      <c r="L1291" s="39"/>
      <c r="M1291" s="39"/>
      <c r="N1291" s="40"/>
      <c r="O1291" s="40"/>
    </row>
    <row r="1292" spans="1:15">
      <c r="A1292" s="28" t="s">
        <v>1607</v>
      </c>
      <c r="B1292" s="37">
        <v>0.023</v>
      </c>
      <c r="C1292" s="37">
        <v>0</v>
      </c>
      <c r="D1292" s="37">
        <v>0.496</v>
      </c>
      <c r="E1292" s="37">
        <v>0</v>
      </c>
      <c r="F1292">
        <v>0.0313</v>
      </c>
      <c r="G1292">
        <v>3.3214</v>
      </c>
      <c r="I1292" s="38"/>
      <c r="J1292" s="39"/>
      <c r="K1292" s="39"/>
      <c r="L1292" s="39"/>
      <c r="M1292" s="39"/>
      <c r="N1292" s="40"/>
      <c r="O1292" s="40"/>
    </row>
    <row r="1293" spans="1:15">
      <c r="A1293" s="28" t="s">
        <v>1608</v>
      </c>
      <c r="B1293" s="37">
        <v>0.023</v>
      </c>
      <c r="C1293" s="37">
        <v>0</v>
      </c>
      <c r="D1293" s="37">
        <v>0.499</v>
      </c>
      <c r="E1293" s="37">
        <v>0</v>
      </c>
      <c r="F1293">
        <v>0.0308</v>
      </c>
      <c r="G1293">
        <v>3.2463</v>
      </c>
      <c r="I1293" s="38"/>
      <c r="J1293" s="39"/>
      <c r="K1293" s="39"/>
      <c r="L1293" s="39"/>
      <c r="M1293" s="39"/>
      <c r="N1293" s="40"/>
      <c r="O1293" s="40"/>
    </row>
    <row r="1294" spans="1:15">
      <c r="A1294" s="28" t="s">
        <v>1609</v>
      </c>
      <c r="B1294" s="37">
        <v>0.023</v>
      </c>
      <c r="C1294" s="37">
        <v>0</v>
      </c>
      <c r="D1294" s="37">
        <v>0.503</v>
      </c>
      <c r="E1294" s="37">
        <v>0</v>
      </c>
      <c r="F1294">
        <v>0.0306</v>
      </c>
      <c r="G1294">
        <v>3.1959</v>
      </c>
      <c r="I1294" s="38"/>
      <c r="J1294" s="39"/>
      <c r="K1294" s="39"/>
      <c r="L1294" s="39"/>
      <c r="M1294" s="39"/>
      <c r="N1294" s="40"/>
      <c r="O1294" s="40"/>
    </row>
    <row r="1295" spans="1:15">
      <c r="A1295" s="28" t="s">
        <v>1610</v>
      </c>
      <c r="B1295" s="37">
        <v>0.023</v>
      </c>
      <c r="C1295" s="37">
        <v>0</v>
      </c>
      <c r="D1295" s="37">
        <v>0.505</v>
      </c>
      <c r="E1295" s="37">
        <v>0</v>
      </c>
      <c r="F1295">
        <v>0.0304</v>
      </c>
      <c r="G1295">
        <v>3.1311</v>
      </c>
      <c r="I1295" s="38"/>
      <c r="J1295" s="39"/>
      <c r="K1295" s="39"/>
      <c r="L1295" s="39"/>
      <c r="M1295" s="39"/>
      <c r="N1295" s="40"/>
      <c r="O1295" s="40"/>
    </row>
    <row r="1296" spans="1:15">
      <c r="A1296" s="28" t="s">
        <v>1611</v>
      </c>
      <c r="B1296" s="37">
        <v>0.024</v>
      </c>
      <c r="C1296" s="37">
        <v>0.032</v>
      </c>
      <c r="D1296" s="37">
        <v>0.545</v>
      </c>
      <c r="E1296" s="37">
        <v>0.915</v>
      </c>
      <c r="F1296">
        <v>0.0303</v>
      </c>
      <c r="G1296">
        <v>3.092</v>
      </c>
      <c r="I1296" s="38"/>
      <c r="J1296" s="39"/>
      <c r="K1296" s="39"/>
      <c r="L1296" s="39"/>
      <c r="M1296" s="39"/>
      <c r="N1296" s="40"/>
      <c r="O1296" s="40"/>
    </row>
    <row r="1297" spans="1:15">
      <c r="A1297" s="28" t="s">
        <v>1612</v>
      </c>
      <c r="B1297" s="37">
        <v>0.024</v>
      </c>
      <c r="C1297" s="37">
        <v>0.032</v>
      </c>
      <c r="D1297" s="37">
        <v>0.55</v>
      </c>
      <c r="E1297" s="37">
        <v>0.931</v>
      </c>
      <c r="F1297">
        <v>0.0302</v>
      </c>
      <c r="G1297">
        <v>3.0509</v>
      </c>
      <c r="I1297" s="38"/>
      <c r="J1297" s="39"/>
      <c r="K1297" s="39"/>
      <c r="L1297" s="39"/>
      <c r="M1297" s="39"/>
      <c r="N1297" s="40"/>
      <c r="O1297" s="40"/>
    </row>
    <row r="1298" spans="1:15">
      <c r="A1298" s="28" t="s">
        <v>1613</v>
      </c>
      <c r="B1298" s="37">
        <v>0.024</v>
      </c>
      <c r="C1298" s="37">
        <v>0.032</v>
      </c>
      <c r="D1298" s="37">
        <v>0.549</v>
      </c>
      <c r="E1298" s="37">
        <v>0.944</v>
      </c>
      <c r="F1298">
        <v>0.0298</v>
      </c>
      <c r="G1298">
        <v>2.9762</v>
      </c>
      <c r="I1298" s="38"/>
      <c r="J1298" s="39"/>
      <c r="K1298" s="39"/>
      <c r="L1298" s="39"/>
      <c r="M1298" s="39"/>
      <c r="N1298" s="40"/>
      <c r="O1298" s="40"/>
    </row>
    <row r="1299" spans="1:15">
      <c r="A1299" s="28" t="s">
        <v>1614</v>
      </c>
      <c r="B1299" s="37">
        <v>0.024</v>
      </c>
      <c r="C1299" s="37">
        <v>0.032</v>
      </c>
      <c r="D1299" s="37">
        <v>0.559</v>
      </c>
      <c r="E1299" s="37">
        <v>0.961</v>
      </c>
      <c r="F1299">
        <v>0.0295</v>
      </c>
      <c r="G1299">
        <v>2.9346</v>
      </c>
      <c r="I1299" s="38"/>
      <c r="J1299" s="39"/>
      <c r="K1299" s="39"/>
      <c r="L1299" s="39"/>
      <c r="M1299" s="39"/>
      <c r="N1299" s="40"/>
      <c r="O1299" s="40"/>
    </row>
    <row r="1300" spans="1:15">
      <c r="A1300" s="28" t="s">
        <v>1615</v>
      </c>
      <c r="B1300" s="37">
        <v>0.024</v>
      </c>
      <c r="C1300" s="37">
        <v>0.032</v>
      </c>
      <c r="D1300" s="37">
        <v>0.569</v>
      </c>
      <c r="E1300" s="37">
        <v>0.982</v>
      </c>
      <c r="F1300">
        <v>0.0291</v>
      </c>
      <c r="G1300">
        <v>2.8949</v>
      </c>
      <c r="I1300" s="38"/>
      <c r="J1300" s="39"/>
      <c r="K1300" s="39"/>
      <c r="L1300" s="39"/>
      <c r="M1300" s="39"/>
      <c r="N1300" s="40"/>
      <c r="O1300" s="40"/>
    </row>
    <row r="1301" spans="1:15">
      <c r="A1301" s="28" t="s">
        <v>1616</v>
      </c>
      <c r="B1301" s="37">
        <v>0.023</v>
      </c>
      <c r="C1301" s="37">
        <v>0.032</v>
      </c>
      <c r="D1301" s="37">
        <v>0.552</v>
      </c>
      <c r="E1301" s="37">
        <v>0.987</v>
      </c>
      <c r="F1301">
        <v>0.0292</v>
      </c>
      <c r="G1301">
        <v>2.8455</v>
      </c>
      <c r="I1301" s="38"/>
      <c r="J1301" s="39"/>
      <c r="K1301" s="39"/>
      <c r="L1301" s="39"/>
      <c r="M1301" s="39"/>
      <c r="N1301" s="40"/>
      <c r="O1301" s="40"/>
    </row>
    <row r="1302" spans="1:15">
      <c r="A1302" s="28" t="s">
        <v>1617</v>
      </c>
      <c r="B1302" s="37">
        <v>0.024</v>
      </c>
      <c r="C1302" s="37">
        <v>0.032</v>
      </c>
      <c r="D1302" s="37">
        <v>0.588</v>
      </c>
      <c r="E1302" s="37">
        <v>1.008</v>
      </c>
      <c r="F1302">
        <v>0.0288</v>
      </c>
      <c r="G1302">
        <v>2.7805</v>
      </c>
      <c r="I1302" s="38"/>
      <c r="J1302" s="39"/>
      <c r="K1302" s="39"/>
      <c r="L1302" s="39"/>
      <c r="M1302" s="39"/>
      <c r="N1302" s="40"/>
      <c r="O1302" s="40"/>
    </row>
    <row r="1303" spans="1:15">
      <c r="A1303" s="28" t="s">
        <v>1618</v>
      </c>
      <c r="B1303" s="37">
        <v>0.025</v>
      </c>
      <c r="C1303" s="37">
        <v>0.032</v>
      </c>
      <c r="D1303" s="37">
        <v>0.597</v>
      </c>
      <c r="E1303" s="37">
        <v>1.015</v>
      </c>
      <c r="F1303">
        <v>0.0286</v>
      </c>
      <c r="G1303">
        <v>2.7701</v>
      </c>
      <c r="I1303" s="38"/>
      <c r="J1303" s="39"/>
      <c r="K1303" s="39"/>
      <c r="L1303" s="39"/>
      <c r="M1303" s="39"/>
      <c r="N1303" s="40"/>
      <c r="O1303" s="40"/>
    </row>
    <row r="1304" spans="1:15">
      <c r="A1304" s="28" t="s">
        <v>1619</v>
      </c>
      <c r="B1304" s="37">
        <v>0.023</v>
      </c>
      <c r="C1304" s="37">
        <v>0.032</v>
      </c>
      <c r="D1304" s="37">
        <v>0.566</v>
      </c>
      <c r="E1304" s="37">
        <v>1.021</v>
      </c>
      <c r="F1304">
        <v>0.0284</v>
      </c>
      <c r="G1304">
        <v>2.7387</v>
      </c>
      <c r="I1304" s="38"/>
      <c r="J1304" s="39"/>
      <c r="K1304" s="39"/>
      <c r="L1304" s="39"/>
      <c r="M1304" s="39"/>
      <c r="N1304" s="40"/>
      <c r="O1304" s="40"/>
    </row>
    <row r="1305" spans="1:15">
      <c r="A1305" s="28" t="s">
        <v>1620</v>
      </c>
      <c r="B1305" s="37">
        <v>0.023</v>
      </c>
      <c r="C1305" s="37">
        <v>0.032</v>
      </c>
      <c r="D1305" s="37">
        <v>0.563</v>
      </c>
      <c r="E1305" s="37">
        <v>1.032</v>
      </c>
      <c r="F1305">
        <v>0.0281</v>
      </c>
      <c r="G1305">
        <v>2.7489</v>
      </c>
      <c r="I1305" s="38"/>
      <c r="J1305" s="39"/>
      <c r="K1305" s="39"/>
      <c r="L1305" s="39"/>
      <c r="M1305" s="39"/>
      <c r="N1305" s="40"/>
      <c r="O1305" s="40"/>
    </row>
    <row r="1306" spans="1:15">
      <c r="A1306" s="28" t="s">
        <v>1621</v>
      </c>
      <c r="B1306" s="37">
        <v>0.021</v>
      </c>
      <c r="C1306" s="37">
        <v>0.032</v>
      </c>
      <c r="D1306" s="37">
        <v>0.534</v>
      </c>
      <c r="E1306" s="37">
        <v>1.052</v>
      </c>
      <c r="F1306">
        <v>0.0279</v>
      </c>
      <c r="G1306">
        <v>2.7213</v>
      </c>
      <c r="I1306" s="38"/>
      <c r="J1306" s="39"/>
      <c r="K1306" s="39"/>
      <c r="L1306" s="39"/>
      <c r="M1306" s="39"/>
      <c r="N1306" s="40"/>
      <c r="O1306" s="40"/>
    </row>
    <row r="1307" spans="1:15">
      <c r="A1307" s="28" t="s">
        <v>1622</v>
      </c>
      <c r="B1307" s="37">
        <v>0.022</v>
      </c>
      <c r="C1307" s="37">
        <v>0.032</v>
      </c>
      <c r="D1307" s="37">
        <v>0.548</v>
      </c>
      <c r="E1307" s="37">
        <v>1.061</v>
      </c>
      <c r="F1307">
        <v>0.0276</v>
      </c>
      <c r="G1307">
        <v>2.6868</v>
      </c>
      <c r="I1307" s="38"/>
      <c r="J1307" s="39"/>
      <c r="K1307" s="39"/>
      <c r="L1307" s="39"/>
      <c r="M1307" s="39"/>
      <c r="N1307" s="40"/>
      <c r="O1307" s="40"/>
    </row>
    <row r="1308" spans="1:15">
      <c r="A1308" s="28" t="s">
        <v>1623</v>
      </c>
      <c r="B1308" s="37">
        <v>0.021</v>
      </c>
      <c r="C1308" s="37">
        <v>0.032</v>
      </c>
      <c r="D1308" s="37">
        <v>0.549</v>
      </c>
      <c r="E1308" s="37">
        <v>1.063</v>
      </c>
      <c r="F1308">
        <v>0.0274</v>
      </c>
      <c r="G1308">
        <v>2.6568</v>
      </c>
      <c r="I1308" s="38"/>
      <c r="J1308" s="39"/>
      <c r="K1308" s="39"/>
      <c r="L1308" s="39"/>
      <c r="M1308" s="39"/>
      <c r="N1308" s="40"/>
      <c r="O1308" s="40"/>
    </row>
    <row r="1309" spans="1:15">
      <c r="A1309" s="28" t="s">
        <v>1624</v>
      </c>
      <c r="B1309" s="37">
        <v>0.021</v>
      </c>
      <c r="C1309" s="37">
        <v>0.032</v>
      </c>
      <c r="D1309" s="37">
        <v>0.549</v>
      </c>
      <c r="E1309" s="37">
        <v>1.074</v>
      </c>
      <c r="F1309">
        <v>0.0271</v>
      </c>
      <c r="G1309">
        <v>2.6062</v>
      </c>
      <c r="I1309" s="38"/>
      <c r="J1309" s="39"/>
      <c r="K1309" s="39"/>
      <c r="L1309" s="39"/>
      <c r="M1309" s="39"/>
      <c r="N1309" s="40"/>
      <c r="O1309" s="40"/>
    </row>
    <row r="1310" spans="1:15">
      <c r="A1310" s="28" t="s">
        <v>1625</v>
      </c>
      <c r="B1310" s="37">
        <v>0.019</v>
      </c>
      <c r="C1310" s="37">
        <v>0.032</v>
      </c>
      <c r="D1310" s="37">
        <v>0.498</v>
      </c>
      <c r="E1310" s="37">
        <v>1.084</v>
      </c>
      <c r="F1310">
        <v>0.027</v>
      </c>
      <c r="G1310">
        <v>2.5743</v>
      </c>
      <c r="I1310" s="38"/>
      <c r="J1310" s="39"/>
      <c r="K1310" s="39"/>
      <c r="L1310" s="39"/>
      <c r="M1310" s="39"/>
      <c r="N1310" s="40"/>
      <c r="O1310" s="40"/>
    </row>
    <row r="1311" spans="1:15">
      <c r="A1311" s="28" t="s">
        <v>1626</v>
      </c>
      <c r="B1311" s="37">
        <v>0.018</v>
      </c>
      <c r="C1311" s="37">
        <v>0.032</v>
      </c>
      <c r="D1311" s="37">
        <v>0.482</v>
      </c>
      <c r="E1311" s="37">
        <v>1.099</v>
      </c>
      <c r="F1311">
        <v>0.027</v>
      </c>
      <c r="G1311">
        <v>2.5531</v>
      </c>
      <c r="I1311" s="38"/>
      <c r="J1311" s="39"/>
      <c r="K1311" s="39"/>
      <c r="L1311" s="39"/>
      <c r="M1311" s="39"/>
      <c r="N1311" s="40"/>
      <c r="O1311" s="40"/>
    </row>
    <row r="1312" spans="1:15">
      <c r="A1312" s="28" t="s">
        <v>1627</v>
      </c>
      <c r="B1312" s="37">
        <v>0.019</v>
      </c>
      <c r="C1312" s="37">
        <v>0.032</v>
      </c>
      <c r="D1312" s="37">
        <v>0.511</v>
      </c>
      <c r="E1312" s="37">
        <v>1.137</v>
      </c>
      <c r="F1312">
        <v>0.0269</v>
      </c>
      <c r="G1312">
        <v>2.5409</v>
      </c>
      <c r="I1312" s="38"/>
      <c r="J1312" s="39"/>
      <c r="K1312" s="39"/>
      <c r="L1312" s="39"/>
      <c r="M1312" s="39"/>
      <c r="N1312" s="40"/>
      <c r="O1312" s="40"/>
    </row>
    <row r="1313" spans="1:15">
      <c r="A1313" s="28" t="s">
        <v>1628</v>
      </c>
      <c r="B1313" s="37">
        <v>0.017</v>
      </c>
      <c r="C1313" s="37">
        <v>0.032</v>
      </c>
      <c r="D1313" s="37">
        <v>0.478</v>
      </c>
      <c r="E1313" s="37">
        <v>1.147</v>
      </c>
      <c r="F1313">
        <v>0.0269</v>
      </c>
      <c r="G1313">
        <v>2.507</v>
      </c>
      <c r="I1313" s="38"/>
      <c r="J1313" s="39"/>
      <c r="K1313" s="39"/>
      <c r="L1313" s="39"/>
      <c r="M1313" s="39"/>
      <c r="N1313" s="40"/>
      <c r="O1313" s="40"/>
    </row>
    <row r="1314" spans="1:15">
      <c r="A1314" s="28" t="s">
        <v>1629</v>
      </c>
      <c r="B1314" s="37">
        <v>0.017</v>
      </c>
      <c r="C1314" s="37">
        <v>0.032</v>
      </c>
      <c r="D1314" s="37">
        <v>0.479</v>
      </c>
      <c r="E1314" s="37">
        <v>1.148</v>
      </c>
      <c r="F1314">
        <v>0.0265</v>
      </c>
      <c r="G1314">
        <v>2.4412</v>
      </c>
      <c r="I1314" s="38"/>
      <c r="J1314" s="39"/>
      <c r="K1314" s="39"/>
      <c r="L1314" s="39"/>
      <c r="M1314" s="39"/>
      <c r="N1314" s="40"/>
      <c r="O1314" s="40"/>
    </row>
    <row r="1315" spans="1:15">
      <c r="A1315" s="28" t="s">
        <v>1630</v>
      </c>
      <c r="B1315" s="37">
        <v>0.017</v>
      </c>
      <c r="C1315" s="37">
        <v>0.032</v>
      </c>
      <c r="D1315" s="37">
        <v>0.48</v>
      </c>
      <c r="E1315" s="37">
        <v>1.153</v>
      </c>
      <c r="F1315">
        <v>0.0261</v>
      </c>
      <c r="G1315">
        <v>2.4027</v>
      </c>
      <c r="I1315" s="38"/>
      <c r="J1315" s="39"/>
      <c r="K1315" s="39"/>
      <c r="L1315" s="39"/>
      <c r="M1315" s="39"/>
      <c r="N1315" s="40"/>
      <c r="O1315" s="40"/>
    </row>
    <row r="1316" spans="1:15">
      <c r="A1316" s="28" t="s">
        <v>1631</v>
      </c>
      <c r="B1316" s="37">
        <v>0.019</v>
      </c>
      <c r="C1316" s="37">
        <v>0.032</v>
      </c>
      <c r="D1316" s="37">
        <v>0.533</v>
      </c>
      <c r="E1316" s="37">
        <v>1.152</v>
      </c>
      <c r="F1316">
        <v>0.0257</v>
      </c>
      <c r="G1316">
        <v>2.4061</v>
      </c>
      <c r="I1316" s="38"/>
      <c r="J1316" s="39"/>
      <c r="K1316" s="39"/>
      <c r="L1316" s="39"/>
      <c r="M1316" s="39"/>
      <c r="N1316" s="40"/>
      <c r="O1316" s="40"/>
    </row>
    <row r="1317" spans="1:15">
      <c r="A1317" s="28" t="s">
        <v>1632</v>
      </c>
      <c r="B1317" s="37">
        <v>0.019</v>
      </c>
      <c r="C1317" s="37">
        <v>0</v>
      </c>
      <c r="D1317" s="37">
        <v>0.559</v>
      </c>
      <c r="E1317" s="37">
        <v>0</v>
      </c>
      <c r="F1317">
        <v>0.0254</v>
      </c>
      <c r="G1317">
        <v>2.3299</v>
      </c>
      <c r="I1317" s="38"/>
      <c r="J1317" s="39"/>
      <c r="K1317" s="39"/>
      <c r="L1317" s="39"/>
      <c r="M1317" s="39"/>
      <c r="N1317" s="40"/>
      <c r="O1317" s="40"/>
    </row>
    <row r="1318" spans="1:15">
      <c r="A1318" s="28" t="s">
        <v>1633</v>
      </c>
      <c r="B1318" s="37">
        <v>0.02</v>
      </c>
      <c r="C1318" s="37">
        <v>0</v>
      </c>
      <c r="D1318" s="37">
        <v>0.597</v>
      </c>
      <c r="E1318" s="37">
        <v>0</v>
      </c>
      <c r="F1318">
        <v>0.0253</v>
      </c>
      <c r="G1318">
        <v>2.3158</v>
      </c>
      <c r="I1318" s="38"/>
      <c r="J1318" s="39"/>
      <c r="K1318" s="39"/>
      <c r="L1318" s="39"/>
      <c r="M1318" s="39"/>
      <c r="N1318" s="40"/>
      <c r="O1318" s="40"/>
    </row>
    <row r="1319" spans="1:15">
      <c r="A1319" s="28" t="s">
        <v>1634</v>
      </c>
      <c r="B1319" s="37">
        <v>0.02</v>
      </c>
      <c r="C1319" s="37">
        <v>0</v>
      </c>
      <c r="D1319" s="37">
        <v>0.591</v>
      </c>
      <c r="E1319" s="37">
        <v>0</v>
      </c>
      <c r="F1319">
        <v>0.0251</v>
      </c>
      <c r="G1319">
        <v>2.2245</v>
      </c>
      <c r="I1319" s="38"/>
      <c r="J1319" s="39"/>
      <c r="K1319" s="39"/>
      <c r="L1319" s="39"/>
      <c r="M1319" s="39"/>
      <c r="N1319" s="40"/>
      <c r="O1319" s="40"/>
    </row>
    <row r="1320" spans="1:15">
      <c r="A1320" s="28" t="s">
        <v>1635</v>
      </c>
      <c r="B1320" s="37">
        <v>0.019</v>
      </c>
      <c r="C1320" s="37">
        <v>0</v>
      </c>
      <c r="D1320" s="37">
        <v>0.567</v>
      </c>
      <c r="E1320" s="37">
        <v>0</v>
      </c>
      <c r="F1320">
        <v>0.025</v>
      </c>
      <c r="G1320">
        <v>2.1635</v>
      </c>
      <c r="I1320" s="38"/>
      <c r="J1320" s="39"/>
      <c r="K1320" s="39"/>
      <c r="L1320" s="39"/>
      <c r="M1320" s="39"/>
      <c r="N1320" s="40"/>
      <c r="O1320" s="40"/>
    </row>
    <row r="1321" spans="1:15">
      <c r="A1321" s="28" t="s">
        <v>1636</v>
      </c>
      <c r="B1321" s="37">
        <v>0.016</v>
      </c>
      <c r="C1321" s="37">
        <v>0</v>
      </c>
      <c r="D1321" s="37">
        <v>0.501</v>
      </c>
      <c r="E1321" s="37">
        <v>0</v>
      </c>
      <c r="F1321">
        <v>0.0248</v>
      </c>
      <c r="G1321">
        <v>2.1055</v>
      </c>
      <c r="I1321" s="38"/>
      <c r="J1321" s="39"/>
      <c r="K1321" s="39"/>
      <c r="L1321" s="39"/>
      <c r="M1321" s="39"/>
      <c r="N1321" s="40"/>
      <c r="O1321" s="40"/>
    </row>
    <row r="1322" spans="1:15">
      <c r="A1322" s="28" t="s">
        <v>1637</v>
      </c>
      <c r="B1322" s="37">
        <v>0.016</v>
      </c>
      <c r="C1322" s="37">
        <v>0</v>
      </c>
      <c r="D1322" s="37">
        <v>0.509</v>
      </c>
      <c r="E1322" s="37">
        <v>0</v>
      </c>
      <c r="F1322">
        <v>0.0247</v>
      </c>
      <c r="G1322">
        <v>2.0605</v>
      </c>
      <c r="I1322" s="38"/>
      <c r="J1322" s="39"/>
      <c r="K1322" s="39"/>
      <c r="L1322" s="39"/>
      <c r="M1322" s="39"/>
      <c r="N1322" s="40"/>
      <c r="O1322" s="40"/>
    </row>
    <row r="1323" spans="1:15">
      <c r="A1323" s="28" t="s">
        <v>1638</v>
      </c>
      <c r="B1323" s="37">
        <v>0.016</v>
      </c>
      <c r="C1323" s="37">
        <v>0</v>
      </c>
      <c r="D1323" s="37">
        <v>0.516</v>
      </c>
      <c r="E1323" s="37">
        <v>0</v>
      </c>
      <c r="F1323">
        <v>0.0246</v>
      </c>
      <c r="G1323">
        <v>2.0288</v>
      </c>
      <c r="I1323" s="38"/>
      <c r="J1323" s="39"/>
      <c r="K1323" s="39"/>
      <c r="L1323" s="39"/>
      <c r="M1323" s="39"/>
      <c r="N1323" s="40"/>
      <c r="O1323" s="40"/>
    </row>
    <row r="1324" spans="1:15">
      <c r="A1324" s="28" t="s">
        <v>1639</v>
      </c>
      <c r="B1324" s="37">
        <v>0.016</v>
      </c>
      <c r="C1324" s="37">
        <v>0</v>
      </c>
      <c r="D1324" s="37">
        <v>0.524</v>
      </c>
      <c r="E1324" s="37">
        <v>0</v>
      </c>
      <c r="F1324">
        <v>0.0243</v>
      </c>
      <c r="G1324">
        <v>2.0046</v>
      </c>
      <c r="I1324" s="38"/>
      <c r="J1324" s="39"/>
      <c r="K1324" s="39"/>
      <c r="L1324" s="39"/>
      <c r="M1324" s="39"/>
      <c r="N1324" s="40"/>
      <c r="O1324" s="40"/>
    </row>
    <row r="1325" spans="1:15">
      <c r="A1325" s="28" t="s">
        <v>1640</v>
      </c>
      <c r="B1325" s="37">
        <v>0.016</v>
      </c>
      <c r="C1325" s="37">
        <v>0</v>
      </c>
      <c r="D1325" s="37">
        <v>0.526</v>
      </c>
      <c r="E1325" s="37">
        <v>0</v>
      </c>
      <c r="F1325">
        <v>0.0239</v>
      </c>
      <c r="G1325">
        <v>1.9793</v>
      </c>
      <c r="I1325" s="38"/>
      <c r="J1325" s="39"/>
      <c r="K1325" s="39"/>
      <c r="L1325" s="39"/>
      <c r="M1325" s="39"/>
      <c r="N1325" s="40"/>
      <c r="O1325" s="40"/>
    </row>
    <row r="1326" spans="1:15">
      <c r="A1326" s="28" t="s">
        <v>1641</v>
      </c>
      <c r="B1326" s="37">
        <v>0.016</v>
      </c>
      <c r="C1326" s="37">
        <v>0</v>
      </c>
      <c r="D1326" s="37">
        <v>0.528</v>
      </c>
      <c r="E1326" s="37">
        <v>0</v>
      </c>
      <c r="F1326">
        <v>0.0237</v>
      </c>
      <c r="G1326">
        <v>1.9299</v>
      </c>
      <c r="I1326" s="38"/>
      <c r="J1326" s="39"/>
      <c r="K1326" s="39"/>
      <c r="L1326" s="39"/>
      <c r="M1326" s="39"/>
      <c r="N1326" s="40"/>
      <c r="O1326" s="40"/>
    </row>
    <row r="1327" spans="1:15">
      <c r="A1327" s="28" t="s">
        <v>1642</v>
      </c>
      <c r="B1327" s="37">
        <v>0.017</v>
      </c>
      <c r="C1327" s="37">
        <v>0</v>
      </c>
      <c r="D1327" s="37">
        <v>0.558</v>
      </c>
      <c r="E1327" s="37">
        <v>0</v>
      </c>
      <c r="F1327">
        <v>0.0234</v>
      </c>
      <c r="G1327">
        <v>1.9093</v>
      </c>
      <c r="I1327" s="38"/>
      <c r="J1327" s="39"/>
      <c r="K1327" s="39"/>
      <c r="L1327" s="39"/>
      <c r="M1327" s="39"/>
      <c r="N1327" s="40"/>
      <c r="O1327" s="40"/>
    </row>
    <row r="1328" spans="1:15">
      <c r="A1328" s="28" t="s">
        <v>1643</v>
      </c>
      <c r="B1328" s="37">
        <v>0.016</v>
      </c>
      <c r="C1328" s="37">
        <v>0</v>
      </c>
      <c r="D1328" s="37">
        <v>0.552</v>
      </c>
      <c r="E1328" s="37">
        <v>0</v>
      </c>
      <c r="F1328">
        <v>0.0232</v>
      </c>
      <c r="G1328">
        <v>1.8457</v>
      </c>
      <c r="I1328" s="38"/>
      <c r="J1328" s="39"/>
      <c r="K1328" s="39"/>
      <c r="L1328" s="39"/>
      <c r="M1328" s="39"/>
      <c r="N1328" s="40"/>
      <c r="O1328" s="40"/>
    </row>
    <row r="1329" spans="1:15">
      <c r="A1329" s="28" t="s">
        <v>1644</v>
      </c>
      <c r="B1329" s="37">
        <v>0.018</v>
      </c>
      <c r="C1329" s="37">
        <v>0</v>
      </c>
      <c r="D1329" s="37">
        <v>0.61</v>
      </c>
      <c r="E1329" s="37">
        <v>0</v>
      </c>
      <c r="F1329">
        <v>0.0231</v>
      </c>
      <c r="G1329">
        <v>1.8267</v>
      </c>
      <c r="I1329" s="38"/>
      <c r="J1329" s="39"/>
      <c r="K1329" s="39"/>
      <c r="L1329" s="39"/>
      <c r="M1329" s="39"/>
      <c r="N1329" s="40"/>
      <c r="O1329" s="40"/>
    </row>
    <row r="1330" spans="1:15">
      <c r="A1330" s="28" t="s">
        <v>1645</v>
      </c>
      <c r="B1330" s="37">
        <v>0.018</v>
      </c>
      <c r="C1330" s="37">
        <v>0</v>
      </c>
      <c r="D1330" s="37">
        <v>0.638</v>
      </c>
      <c r="E1330" s="37">
        <v>0</v>
      </c>
      <c r="F1330">
        <v>0.0228</v>
      </c>
      <c r="G1330">
        <v>1.8017</v>
      </c>
      <c r="I1330" s="38"/>
      <c r="J1330" s="39"/>
      <c r="K1330" s="39"/>
      <c r="L1330" s="39"/>
      <c r="M1330" s="39"/>
      <c r="N1330" s="40"/>
      <c r="O1330" s="40"/>
    </row>
    <row r="1331" spans="1:15">
      <c r="A1331" s="28" t="s">
        <v>1646</v>
      </c>
      <c r="B1331" s="37">
        <v>0.016</v>
      </c>
      <c r="C1331" s="37">
        <v>0</v>
      </c>
      <c r="D1331" s="37">
        <v>0.567</v>
      </c>
      <c r="E1331" s="37">
        <v>0</v>
      </c>
      <c r="F1331">
        <v>0.0227</v>
      </c>
      <c r="G1331">
        <v>1.7745</v>
      </c>
      <c r="I1331" s="38"/>
      <c r="J1331" s="39"/>
      <c r="K1331" s="39"/>
      <c r="L1331" s="39"/>
      <c r="M1331" s="39"/>
      <c r="N1331" s="40"/>
      <c r="O1331" s="40"/>
    </row>
    <row r="1332" spans="1:15">
      <c r="A1332" s="28" t="s">
        <v>1647</v>
      </c>
      <c r="B1332" s="37">
        <v>0.016</v>
      </c>
      <c r="C1332" s="37">
        <v>0</v>
      </c>
      <c r="D1332" s="37">
        <v>0.577</v>
      </c>
      <c r="E1332" s="37">
        <v>0</v>
      </c>
      <c r="F1332">
        <v>0.0225</v>
      </c>
      <c r="G1332">
        <v>1.7524</v>
      </c>
      <c r="I1332" s="38"/>
      <c r="J1332" s="39"/>
      <c r="K1332" s="39"/>
      <c r="L1332" s="39"/>
      <c r="M1332" s="39"/>
      <c r="N1332" s="40"/>
      <c r="O1332" s="40"/>
    </row>
    <row r="1333" spans="1:15">
      <c r="A1333" s="28" t="s">
        <v>1648</v>
      </c>
      <c r="B1333" s="37">
        <v>0.015</v>
      </c>
      <c r="C1333" s="37">
        <v>0</v>
      </c>
      <c r="D1333" s="37">
        <v>0.551</v>
      </c>
      <c r="E1333" s="37">
        <v>0</v>
      </c>
      <c r="F1333">
        <v>0.0224</v>
      </c>
      <c r="G1333">
        <v>1.7472</v>
      </c>
      <c r="I1333" s="38"/>
      <c r="J1333" s="39"/>
      <c r="K1333" s="39"/>
      <c r="L1333" s="39"/>
      <c r="M1333" s="39"/>
      <c r="N1333" s="40"/>
      <c r="O1333" s="40"/>
    </row>
    <row r="1334" spans="1:15">
      <c r="A1334" s="28" t="s">
        <v>1649</v>
      </c>
      <c r="B1334" s="37">
        <v>0.017</v>
      </c>
      <c r="C1334" s="37">
        <v>0</v>
      </c>
      <c r="D1334" s="37">
        <v>0.622</v>
      </c>
      <c r="E1334" s="37">
        <v>0</v>
      </c>
      <c r="F1334">
        <v>0.0222</v>
      </c>
      <c r="G1334">
        <v>1.7132</v>
      </c>
      <c r="I1334" s="38"/>
      <c r="J1334" s="39"/>
      <c r="K1334" s="39"/>
      <c r="L1334" s="39"/>
      <c r="M1334" s="39"/>
      <c r="N1334" s="40"/>
      <c r="O1334" s="40"/>
    </row>
    <row r="1335" spans="1:15">
      <c r="A1335" s="28" t="s">
        <v>1650</v>
      </c>
      <c r="B1335" s="37">
        <v>0.016</v>
      </c>
      <c r="C1335" s="37">
        <v>0</v>
      </c>
      <c r="D1335" s="37">
        <v>0.606</v>
      </c>
      <c r="E1335" s="37">
        <v>0</v>
      </c>
      <c r="F1335">
        <v>0.0221</v>
      </c>
      <c r="G1335">
        <v>1.6905</v>
      </c>
      <c r="I1335" s="38"/>
      <c r="J1335" s="39"/>
      <c r="K1335" s="39"/>
      <c r="L1335" s="39"/>
      <c r="M1335" s="39"/>
      <c r="N1335" s="40"/>
      <c r="O1335" s="40"/>
    </row>
    <row r="1336" spans="1:15">
      <c r="A1336" s="28" t="s">
        <v>1651</v>
      </c>
      <c r="B1336" s="37">
        <v>0.018</v>
      </c>
      <c r="C1336" s="37">
        <v>0</v>
      </c>
      <c r="D1336" s="37">
        <v>0.692</v>
      </c>
      <c r="E1336" s="37">
        <v>0</v>
      </c>
      <c r="F1336">
        <v>0.0219</v>
      </c>
      <c r="G1336">
        <v>1.6673</v>
      </c>
      <c r="I1336" s="38"/>
      <c r="J1336" s="39"/>
      <c r="K1336" s="39"/>
      <c r="L1336" s="39"/>
      <c r="M1336" s="39"/>
      <c r="N1336" s="40"/>
      <c r="O1336" s="40"/>
    </row>
    <row r="1337" spans="1:15">
      <c r="A1337" s="28" t="s">
        <v>1652</v>
      </c>
      <c r="B1337" s="37">
        <v>0.018</v>
      </c>
      <c r="C1337" s="37">
        <v>0.032</v>
      </c>
      <c r="D1337" s="37">
        <v>0.691</v>
      </c>
      <c r="E1337" s="37">
        <v>1.473</v>
      </c>
      <c r="F1337">
        <v>0.0218</v>
      </c>
      <c r="G1337">
        <v>1.6413</v>
      </c>
      <c r="I1337" s="38"/>
      <c r="J1337" s="39"/>
      <c r="K1337" s="39"/>
      <c r="L1337" s="39"/>
      <c r="M1337" s="39"/>
      <c r="N1337" s="40"/>
      <c r="O1337" s="40"/>
    </row>
    <row r="1338" spans="1:15">
      <c r="A1338" s="28" t="s">
        <v>1653</v>
      </c>
      <c r="B1338" s="37">
        <v>0.017</v>
      </c>
      <c r="C1338" s="37">
        <v>0.032</v>
      </c>
      <c r="D1338" s="37">
        <v>0.668</v>
      </c>
      <c r="E1338" s="37">
        <v>1.486</v>
      </c>
      <c r="F1338">
        <v>0.0217</v>
      </c>
      <c r="G1338">
        <v>1.6444</v>
      </c>
      <c r="I1338" s="38"/>
      <c r="J1338" s="39"/>
      <c r="K1338" s="39"/>
      <c r="L1338" s="39"/>
      <c r="M1338" s="39"/>
      <c r="N1338" s="40"/>
      <c r="O1338" s="40"/>
    </row>
    <row r="1339" spans="1:15">
      <c r="A1339" s="28" t="s">
        <v>1654</v>
      </c>
      <c r="B1339" s="37">
        <v>0.017</v>
      </c>
      <c r="C1339" s="37">
        <v>0.032</v>
      </c>
      <c r="D1339" s="37">
        <v>0.697</v>
      </c>
      <c r="E1339" s="37">
        <v>1.487</v>
      </c>
      <c r="F1339">
        <v>0.0214</v>
      </c>
      <c r="G1339">
        <v>1.6214</v>
      </c>
      <c r="I1339" s="38"/>
      <c r="J1339" s="39"/>
      <c r="K1339" s="39"/>
      <c r="L1339" s="39"/>
      <c r="M1339" s="39"/>
      <c r="N1339" s="40"/>
      <c r="O1339" s="40"/>
    </row>
    <row r="1340" spans="1:15">
      <c r="A1340" s="28" t="s">
        <v>1655</v>
      </c>
      <c r="B1340" s="37">
        <v>0.017</v>
      </c>
      <c r="C1340" s="37">
        <v>0.032</v>
      </c>
      <c r="D1340" s="37">
        <v>0.681</v>
      </c>
      <c r="E1340" s="37">
        <v>1.525</v>
      </c>
      <c r="F1340">
        <v>0.0211</v>
      </c>
      <c r="G1340">
        <v>1.6116</v>
      </c>
      <c r="I1340" s="38"/>
      <c r="J1340" s="39"/>
      <c r="K1340" s="39"/>
      <c r="L1340" s="39"/>
      <c r="M1340" s="39"/>
      <c r="N1340" s="40"/>
      <c r="O1340" s="40"/>
    </row>
    <row r="1341" spans="1:15">
      <c r="A1341" s="28" t="s">
        <v>1656</v>
      </c>
      <c r="B1341" s="37">
        <v>0.017</v>
      </c>
      <c r="C1341" s="37">
        <v>0</v>
      </c>
      <c r="D1341" s="37">
        <v>0.701</v>
      </c>
      <c r="E1341" s="37">
        <v>0</v>
      </c>
      <c r="F1341">
        <v>0.021</v>
      </c>
      <c r="G1341">
        <v>1.5909</v>
      </c>
      <c r="I1341" s="38"/>
      <c r="J1341" s="39"/>
      <c r="K1341" s="39"/>
      <c r="L1341" s="39"/>
      <c r="M1341" s="39"/>
      <c r="N1341" s="40"/>
      <c r="O1341" s="40"/>
    </row>
    <row r="1342" spans="1:15">
      <c r="A1342" s="28" t="s">
        <v>1657</v>
      </c>
      <c r="B1342" s="37">
        <v>0.017</v>
      </c>
      <c r="C1342" s="37">
        <v>0</v>
      </c>
      <c r="D1342" s="37">
        <v>0.693</v>
      </c>
      <c r="E1342" s="37">
        <v>0</v>
      </c>
      <c r="F1342">
        <v>0.0208</v>
      </c>
      <c r="G1342">
        <v>1.5889</v>
      </c>
      <c r="I1342" s="38"/>
      <c r="J1342" s="39"/>
      <c r="K1342" s="39"/>
      <c r="L1342" s="39"/>
      <c r="M1342" s="39"/>
      <c r="N1342" s="40"/>
      <c r="O1342" s="40"/>
    </row>
    <row r="1343" spans="1:15">
      <c r="A1343" s="28" t="s">
        <v>1658</v>
      </c>
      <c r="B1343" s="37">
        <v>0.016</v>
      </c>
      <c r="C1343" s="37">
        <v>0</v>
      </c>
      <c r="D1343" s="37">
        <v>0.673</v>
      </c>
      <c r="E1343" s="37">
        <v>0</v>
      </c>
      <c r="F1343">
        <v>0.0208</v>
      </c>
      <c r="G1343">
        <v>1.5798</v>
      </c>
      <c r="I1343" s="38"/>
      <c r="J1343" s="39"/>
      <c r="K1343" s="39"/>
      <c r="L1343" s="39"/>
      <c r="M1343" s="39"/>
      <c r="N1343" s="40"/>
      <c r="O1343" s="40"/>
    </row>
    <row r="1344" spans="1:15">
      <c r="A1344" s="28" t="s">
        <v>1659</v>
      </c>
      <c r="B1344" s="37">
        <v>0.017</v>
      </c>
      <c r="C1344" s="37">
        <v>0</v>
      </c>
      <c r="D1344" s="37">
        <v>0.748</v>
      </c>
      <c r="E1344" s="37">
        <v>0</v>
      </c>
      <c r="F1344">
        <v>0.0207</v>
      </c>
      <c r="G1344">
        <v>1.5678</v>
      </c>
      <c r="I1344" s="38"/>
      <c r="J1344" s="39"/>
      <c r="K1344" s="39"/>
      <c r="L1344" s="39"/>
      <c r="M1344" s="39"/>
      <c r="N1344" s="40"/>
      <c r="O1344" s="40"/>
    </row>
    <row r="1345" spans="1:15">
      <c r="A1345" s="28" t="s">
        <v>1660</v>
      </c>
      <c r="B1345" s="37">
        <v>0.018</v>
      </c>
      <c r="C1345" s="37">
        <v>0</v>
      </c>
      <c r="D1345" s="37">
        <v>0.779</v>
      </c>
      <c r="E1345" s="37">
        <v>0</v>
      </c>
      <c r="F1345">
        <v>0.0205</v>
      </c>
      <c r="G1345">
        <v>1.5611</v>
      </c>
      <c r="I1345" s="38"/>
      <c r="J1345" s="39"/>
      <c r="K1345" s="39"/>
      <c r="L1345" s="39"/>
      <c r="M1345" s="39"/>
      <c r="N1345" s="40"/>
      <c r="O1345" s="40"/>
    </row>
    <row r="1346" spans="1:15">
      <c r="A1346" s="28" t="s">
        <v>1661</v>
      </c>
      <c r="B1346" s="37">
        <v>0.019</v>
      </c>
      <c r="C1346" s="37">
        <v>0</v>
      </c>
      <c r="D1346" s="37">
        <v>0.822</v>
      </c>
      <c r="E1346" s="37">
        <v>0</v>
      </c>
      <c r="F1346">
        <v>0.0205</v>
      </c>
      <c r="G1346">
        <v>1.5458</v>
      </c>
      <c r="I1346" s="38"/>
      <c r="J1346" s="39"/>
      <c r="K1346" s="39"/>
      <c r="L1346" s="39"/>
      <c r="M1346" s="39"/>
      <c r="N1346" s="40"/>
      <c r="O1346" s="40"/>
    </row>
    <row r="1347" spans="1:15">
      <c r="A1347" s="28" t="s">
        <v>1662</v>
      </c>
      <c r="B1347" s="37">
        <v>0.019</v>
      </c>
      <c r="C1347" s="37">
        <v>0</v>
      </c>
      <c r="D1347" s="37">
        <v>0.838</v>
      </c>
      <c r="E1347" s="37">
        <v>0</v>
      </c>
      <c r="F1347">
        <v>0.0203</v>
      </c>
      <c r="G1347">
        <v>1.5344</v>
      </c>
      <c r="I1347" s="38"/>
      <c r="J1347" s="39"/>
      <c r="K1347" s="39"/>
      <c r="L1347" s="39"/>
      <c r="M1347" s="39"/>
      <c r="N1347" s="40"/>
      <c r="O1347" s="40"/>
    </row>
    <row r="1348" spans="1:15">
      <c r="A1348" s="28" t="s">
        <v>1663</v>
      </c>
      <c r="B1348" s="37">
        <v>0.019</v>
      </c>
      <c r="C1348" s="37">
        <v>0</v>
      </c>
      <c r="D1348" s="37">
        <v>0.87</v>
      </c>
      <c r="E1348" s="37">
        <v>0</v>
      </c>
      <c r="F1348">
        <v>0.0202</v>
      </c>
      <c r="G1348">
        <v>1.5098</v>
      </c>
      <c r="I1348" s="38"/>
      <c r="J1348" s="39"/>
      <c r="K1348" s="39"/>
      <c r="L1348" s="39"/>
      <c r="M1348" s="39"/>
      <c r="N1348" s="40"/>
      <c r="O1348" s="40"/>
    </row>
    <row r="1349" spans="1:15">
      <c r="A1349" s="28" t="s">
        <v>1664</v>
      </c>
      <c r="B1349" s="37">
        <v>0.017</v>
      </c>
      <c r="C1349" s="37">
        <v>0</v>
      </c>
      <c r="D1349" s="37">
        <v>0.798</v>
      </c>
      <c r="E1349" s="37">
        <v>0</v>
      </c>
      <c r="F1349">
        <v>0.0201</v>
      </c>
      <c r="G1349">
        <v>1.5109</v>
      </c>
      <c r="I1349" s="38"/>
      <c r="J1349" s="39"/>
      <c r="K1349" s="39"/>
      <c r="L1349" s="39"/>
      <c r="M1349" s="39"/>
      <c r="N1349" s="40"/>
      <c r="O1349" s="40"/>
    </row>
    <row r="1350" spans="1:15">
      <c r="A1350" s="28" t="s">
        <v>1665</v>
      </c>
      <c r="B1350" s="37">
        <v>0.017</v>
      </c>
      <c r="C1350" s="37">
        <v>0.003</v>
      </c>
      <c r="D1350" s="37">
        <v>0.803</v>
      </c>
      <c r="E1350" s="37">
        <v>0.154</v>
      </c>
      <c r="F1350">
        <v>0.02</v>
      </c>
      <c r="G1350">
        <v>1.5035</v>
      </c>
      <c r="I1350" s="38"/>
      <c r="J1350" s="39"/>
      <c r="K1350" s="39"/>
      <c r="L1350" s="39"/>
      <c r="M1350" s="39"/>
      <c r="N1350" s="40"/>
      <c r="O1350" s="40"/>
    </row>
    <row r="1351" spans="1:15">
      <c r="A1351" s="28" t="s">
        <v>1666</v>
      </c>
      <c r="B1351" s="37">
        <v>0.017</v>
      </c>
      <c r="C1351" s="37">
        <v>0</v>
      </c>
      <c r="D1351" s="37">
        <v>0.815</v>
      </c>
      <c r="E1351" s="37">
        <v>0</v>
      </c>
      <c r="F1351">
        <v>0.0199</v>
      </c>
      <c r="G1351">
        <v>1.4867</v>
      </c>
      <c r="I1351" s="38"/>
      <c r="J1351" s="39"/>
      <c r="K1351" s="39"/>
      <c r="L1351" s="39"/>
      <c r="M1351" s="39"/>
      <c r="N1351" s="40"/>
      <c r="O1351" s="40"/>
    </row>
    <row r="1352" spans="1:15">
      <c r="A1352" s="28" t="s">
        <v>1667</v>
      </c>
      <c r="B1352" s="37">
        <v>0.017</v>
      </c>
      <c r="C1352" s="37">
        <v>0</v>
      </c>
      <c r="D1352" s="37">
        <v>0.831</v>
      </c>
      <c r="E1352" s="37">
        <v>0</v>
      </c>
      <c r="F1352">
        <v>0.0196</v>
      </c>
      <c r="G1352">
        <v>1.4471</v>
      </c>
      <c r="I1352" s="38"/>
      <c r="J1352" s="39"/>
      <c r="K1352" s="39"/>
      <c r="L1352" s="39"/>
      <c r="M1352" s="39"/>
      <c r="N1352" s="40"/>
      <c r="O1352" s="40"/>
    </row>
    <row r="1353" spans="1:15">
      <c r="A1353" s="28" t="s">
        <v>1668</v>
      </c>
      <c r="B1353" s="37">
        <v>0.017</v>
      </c>
      <c r="C1353" s="37">
        <v>0</v>
      </c>
      <c r="D1353" s="37">
        <v>0.825</v>
      </c>
      <c r="E1353" s="37">
        <v>0</v>
      </c>
      <c r="F1353">
        <v>0.0194</v>
      </c>
      <c r="G1353">
        <v>1.4538</v>
      </c>
      <c r="I1353" s="38"/>
      <c r="J1353" s="39"/>
      <c r="K1353" s="39"/>
      <c r="L1353" s="39"/>
      <c r="M1353" s="39"/>
      <c r="N1353" s="40"/>
      <c r="O1353" s="40"/>
    </row>
    <row r="1354" spans="1:15">
      <c r="A1354" s="28" t="s">
        <v>1669</v>
      </c>
      <c r="B1354" s="37">
        <v>0.016</v>
      </c>
      <c r="C1354" s="37">
        <v>0</v>
      </c>
      <c r="D1354" s="37">
        <v>0.786</v>
      </c>
      <c r="E1354" s="37">
        <v>0</v>
      </c>
      <c r="F1354">
        <v>0.0194</v>
      </c>
      <c r="G1354">
        <v>1.4444</v>
      </c>
      <c r="I1354" s="38"/>
      <c r="J1354" s="39"/>
      <c r="K1354" s="39"/>
      <c r="L1354" s="39"/>
      <c r="M1354" s="39"/>
      <c r="N1354" s="40"/>
      <c r="O1354" s="40"/>
    </row>
    <row r="1355" spans="1:15">
      <c r="A1355" s="28" t="s">
        <v>1670</v>
      </c>
      <c r="B1355" s="37">
        <v>0.016</v>
      </c>
      <c r="C1355" s="37">
        <v>0</v>
      </c>
      <c r="D1355" s="37">
        <v>0.801</v>
      </c>
      <c r="E1355" s="37">
        <v>0</v>
      </c>
      <c r="F1355">
        <v>0.0193</v>
      </c>
      <c r="G1355">
        <v>1.447</v>
      </c>
      <c r="I1355" s="38"/>
      <c r="J1355" s="39"/>
      <c r="K1355" s="39"/>
      <c r="L1355" s="39"/>
      <c r="M1355" s="39"/>
      <c r="N1355" s="40"/>
      <c r="O1355" s="40"/>
    </row>
    <row r="1356" spans="1:15">
      <c r="A1356" s="28" t="s">
        <v>1671</v>
      </c>
      <c r="B1356" s="37">
        <v>0.014</v>
      </c>
      <c r="C1356" s="37">
        <v>0</v>
      </c>
      <c r="D1356" s="37">
        <v>0.709</v>
      </c>
      <c r="E1356" s="37">
        <v>0</v>
      </c>
      <c r="F1356">
        <v>0.0191</v>
      </c>
      <c r="G1356">
        <v>1.4383</v>
      </c>
      <c r="I1356" s="38"/>
      <c r="J1356" s="39"/>
      <c r="K1356" s="39"/>
      <c r="L1356" s="39"/>
      <c r="M1356" s="39"/>
      <c r="N1356" s="40"/>
      <c r="O1356" s="40"/>
    </row>
    <row r="1357" spans="1:15">
      <c r="A1357" s="28" t="s">
        <v>1672</v>
      </c>
      <c r="B1357" s="37">
        <v>0.013</v>
      </c>
      <c r="C1357" s="37">
        <v>0</v>
      </c>
      <c r="D1357" s="37">
        <v>0.66</v>
      </c>
      <c r="E1357" s="37">
        <v>0</v>
      </c>
      <c r="F1357">
        <v>0.019</v>
      </c>
      <c r="G1357">
        <v>1.4239</v>
      </c>
      <c r="I1357" s="38"/>
      <c r="J1357" s="39"/>
      <c r="K1357" s="39"/>
      <c r="L1357" s="39"/>
      <c r="M1357" s="39"/>
      <c r="N1357" s="40"/>
      <c r="O1357" s="40"/>
    </row>
    <row r="1358" spans="1:15">
      <c r="A1358" s="28" t="s">
        <v>1673</v>
      </c>
      <c r="B1358" s="37">
        <v>0.011</v>
      </c>
      <c r="C1358" s="37">
        <v>0</v>
      </c>
      <c r="D1358" s="37">
        <v>0.587</v>
      </c>
      <c r="E1358" s="37">
        <v>0</v>
      </c>
      <c r="F1358">
        <v>0.0188</v>
      </c>
      <c r="G1358">
        <v>1.405</v>
      </c>
      <c r="I1358" s="38"/>
      <c r="J1358" s="39"/>
      <c r="K1358" s="39"/>
      <c r="L1358" s="39"/>
      <c r="M1358" s="39"/>
      <c r="N1358" s="40"/>
      <c r="O1358" s="40"/>
    </row>
    <row r="1359" spans="1:15">
      <c r="A1359" s="28" t="s">
        <v>1674</v>
      </c>
      <c r="B1359" s="37">
        <v>0.011</v>
      </c>
      <c r="C1359" s="37">
        <v>0</v>
      </c>
      <c r="D1359" s="37">
        <v>0.58</v>
      </c>
      <c r="E1359" s="37">
        <v>0</v>
      </c>
      <c r="F1359">
        <v>0.0187</v>
      </c>
      <c r="G1359">
        <v>1.3879</v>
      </c>
      <c r="I1359" s="38"/>
      <c r="J1359" s="39"/>
      <c r="K1359" s="39"/>
      <c r="L1359" s="39"/>
      <c r="M1359" s="39"/>
      <c r="N1359" s="40"/>
      <c r="O1359" s="40"/>
    </row>
    <row r="1360" spans="1:15">
      <c r="A1360" s="28" t="s">
        <v>1675</v>
      </c>
      <c r="B1360" s="37">
        <v>0.009</v>
      </c>
      <c r="C1360" s="37">
        <v>0</v>
      </c>
      <c r="D1360" s="37">
        <v>0.506</v>
      </c>
      <c r="E1360" s="37">
        <v>0</v>
      </c>
      <c r="F1360">
        <v>0.0187</v>
      </c>
      <c r="G1360">
        <v>1.3885</v>
      </c>
      <c r="I1360" s="38"/>
      <c r="J1360" s="39"/>
      <c r="K1360" s="39"/>
      <c r="L1360" s="39"/>
      <c r="M1360" s="39"/>
      <c r="N1360" s="40"/>
      <c r="O1360" s="40"/>
    </row>
    <row r="1361" spans="1:15">
      <c r="A1361" s="28" t="s">
        <v>1676</v>
      </c>
      <c r="B1361" s="37">
        <v>0.011</v>
      </c>
      <c r="C1361" s="37">
        <v>0</v>
      </c>
      <c r="D1361" s="37">
        <v>0.601</v>
      </c>
      <c r="E1361" s="37">
        <v>0</v>
      </c>
      <c r="F1361">
        <v>0.0185</v>
      </c>
      <c r="G1361">
        <v>1.3847</v>
      </c>
      <c r="I1361" s="38"/>
      <c r="J1361" s="39"/>
      <c r="K1361" s="39"/>
      <c r="L1361" s="39"/>
      <c r="M1361" s="39"/>
      <c r="N1361" s="40"/>
      <c r="O1361" s="40"/>
    </row>
    <row r="1362" spans="1:15">
      <c r="A1362" s="28" t="s">
        <v>1677</v>
      </c>
      <c r="B1362" s="37">
        <v>0.011</v>
      </c>
      <c r="C1362" s="37">
        <v>0</v>
      </c>
      <c r="D1362" s="37">
        <v>0.605</v>
      </c>
      <c r="E1362" s="37">
        <v>0</v>
      </c>
      <c r="F1362">
        <v>0.0185</v>
      </c>
      <c r="G1362">
        <v>1.3853</v>
      </c>
      <c r="I1362" s="38"/>
      <c r="J1362" s="39"/>
      <c r="K1362" s="39"/>
      <c r="L1362" s="39"/>
      <c r="M1362" s="39"/>
      <c r="N1362" s="40"/>
      <c r="O1362" s="40"/>
    </row>
    <row r="1363" spans="1:15">
      <c r="A1363" s="28" t="s">
        <v>1678</v>
      </c>
      <c r="B1363" s="37">
        <v>0.007</v>
      </c>
      <c r="C1363" s="37">
        <v>0</v>
      </c>
      <c r="D1363" s="37">
        <v>0.399</v>
      </c>
      <c r="E1363" s="37">
        <v>0</v>
      </c>
      <c r="F1363">
        <v>0.0183</v>
      </c>
      <c r="G1363">
        <v>1.3888</v>
      </c>
      <c r="I1363" s="38"/>
      <c r="J1363" s="39"/>
      <c r="K1363" s="39"/>
      <c r="L1363" s="39"/>
      <c r="M1363" s="39"/>
      <c r="N1363" s="40"/>
      <c r="O1363" s="40"/>
    </row>
    <row r="1364" spans="1:15">
      <c r="A1364" s="28" t="s">
        <v>1679</v>
      </c>
      <c r="B1364" s="37">
        <v>0.006</v>
      </c>
      <c r="C1364" s="37">
        <v>0.002</v>
      </c>
      <c r="D1364" s="37">
        <v>0.336</v>
      </c>
      <c r="E1364" s="37">
        <v>0.179</v>
      </c>
      <c r="F1364">
        <v>0.0182</v>
      </c>
      <c r="G1364">
        <v>1.3821</v>
      </c>
      <c r="I1364" s="38"/>
      <c r="J1364" s="39"/>
      <c r="K1364" s="39"/>
      <c r="L1364" s="39"/>
      <c r="M1364" s="39"/>
      <c r="N1364" s="40"/>
      <c r="O1364" s="40"/>
    </row>
    <row r="1365" spans="1:15">
      <c r="A1365" s="28" t="s">
        <v>1680</v>
      </c>
      <c r="B1365" s="37">
        <v>0.005</v>
      </c>
      <c r="C1365" s="37">
        <v>0</v>
      </c>
      <c r="D1365" s="37">
        <v>0.308</v>
      </c>
      <c r="E1365" s="37">
        <v>0</v>
      </c>
      <c r="F1365">
        <v>0.0182</v>
      </c>
      <c r="G1365">
        <v>1.374</v>
      </c>
      <c r="I1365" s="38"/>
      <c r="J1365" s="39"/>
      <c r="K1365" s="39"/>
      <c r="L1365" s="39"/>
      <c r="M1365" s="39"/>
      <c r="N1365" s="40"/>
      <c r="O1365" s="40"/>
    </row>
    <row r="1366" spans="1:15">
      <c r="A1366" s="28" t="s">
        <v>1681</v>
      </c>
      <c r="B1366" s="37">
        <v>0.005</v>
      </c>
      <c r="C1366" s="37">
        <v>0</v>
      </c>
      <c r="D1366" s="37">
        <v>0.323</v>
      </c>
      <c r="E1366" s="37">
        <v>0</v>
      </c>
      <c r="F1366">
        <v>0.0181</v>
      </c>
      <c r="G1366">
        <v>1.3724</v>
      </c>
      <c r="I1366" s="38"/>
      <c r="J1366" s="39"/>
      <c r="K1366" s="39"/>
      <c r="L1366" s="39"/>
      <c r="M1366" s="39"/>
      <c r="N1366" s="40"/>
      <c r="O1366" s="40"/>
    </row>
    <row r="1367" spans="1:15">
      <c r="A1367" s="28" t="s">
        <v>1682</v>
      </c>
      <c r="B1367" s="37">
        <v>0.005</v>
      </c>
      <c r="C1367" s="37">
        <v>0</v>
      </c>
      <c r="D1367" s="37">
        <v>0.331</v>
      </c>
      <c r="E1367" s="37">
        <v>0</v>
      </c>
      <c r="F1367">
        <v>0.018</v>
      </c>
      <c r="G1367">
        <v>1.3553</v>
      </c>
      <c r="I1367" s="38"/>
      <c r="J1367" s="39"/>
      <c r="K1367" s="39"/>
      <c r="L1367" s="39"/>
      <c r="M1367" s="39"/>
      <c r="N1367" s="40"/>
      <c r="O1367" s="40"/>
    </row>
    <row r="1368" spans="1:15">
      <c r="A1368" s="28" t="s">
        <v>1683</v>
      </c>
      <c r="B1368" s="37">
        <v>0.005</v>
      </c>
      <c r="C1368" s="37">
        <v>0</v>
      </c>
      <c r="D1368" s="37">
        <v>0.337</v>
      </c>
      <c r="E1368" s="37">
        <v>0</v>
      </c>
      <c r="F1368">
        <v>0.0179</v>
      </c>
      <c r="G1368">
        <v>1.3534</v>
      </c>
      <c r="I1368" s="38"/>
      <c r="J1368" s="39"/>
      <c r="K1368" s="39"/>
      <c r="L1368" s="39"/>
      <c r="M1368" s="39"/>
      <c r="N1368" s="40"/>
      <c r="O1368" s="40"/>
    </row>
    <row r="1369" spans="1:15">
      <c r="A1369" s="28" t="s">
        <v>1684</v>
      </c>
      <c r="B1369" s="37">
        <v>0.004</v>
      </c>
      <c r="C1369" s="37">
        <v>0</v>
      </c>
      <c r="D1369" s="37">
        <v>0.233</v>
      </c>
      <c r="E1369" s="37">
        <v>0</v>
      </c>
      <c r="F1369">
        <v>0.0176</v>
      </c>
      <c r="G1369">
        <v>1.3554</v>
      </c>
      <c r="I1369" s="38"/>
      <c r="J1369" s="39"/>
      <c r="K1369" s="39"/>
      <c r="L1369" s="39"/>
      <c r="M1369" s="39"/>
      <c r="N1369" s="40"/>
      <c r="O1369" s="40"/>
    </row>
    <row r="1370" spans="1:15">
      <c r="A1370" s="28" t="s">
        <v>1685</v>
      </c>
      <c r="B1370" s="37">
        <v>0.004</v>
      </c>
      <c r="C1370" s="37">
        <v>0</v>
      </c>
      <c r="D1370" s="37">
        <v>0.241</v>
      </c>
      <c r="E1370" s="37">
        <v>0</v>
      </c>
      <c r="F1370">
        <v>0.0175</v>
      </c>
      <c r="G1370">
        <v>1.3339</v>
      </c>
      <c r="I1370" s="38"/>
      <c r="J1370" s="39"/>
      <c r="K1370" s="39"/>
      <c r="L1370" s="39"/>
      <c r="M1370" s="39"/>
      <c r="N1370" s="40"/>
      <c r="O1370" s="40"/>
    </row>
    <row r="1371" spans="1:15">
      <c r="A1371" s="28" t="s">
        <v>1686</v>
      </c>
      <c r="B1371" s="37">
        <v>0.005</v>
      </c>
      <c r="C1371" s="37">
        <v>0</v>
      </c>
      <c r="D1371" s="37">
        <v>0.304</v>
      </c>
      <c r="E1371" s="37">
        <v>0</v>
      </c>
      <c r="F1371">
        <v>0.0176</v>
      </c>
      <c r="G1371">
        <v>1.3153</v>
      </c>
      <c r="I1371" s="38"/>
      <c r="J1371" s="39"/>
      <c r="K1371" s="39"/>
      <c r="L1371" s="39"/>
      <c r="M1371" s="39"/>
      <c r="N1371" s="40"/>
      <c r="O1371" s="40"/>
    </row>
    <row r="1372" spans="1:15">
      <c r="A1372" s="28" t="s">
        <v>1687</v>
      </c>
      <c r="B1372" s="37">
        <v>0.003</v>
      </c>
      <c r="C1372" s="37">
        <v>0</v>
      </c>
      <c r="D1372" s="37">
        <v>0.221</v>
      </c>
      <c r="E1372" s="37">
        <v>0</v>
      </c>
      <c r="F1372">
        <v>0.0175</v>
      </c>
      <c r="G1372">
        <v>1.3096</v>
      </c>
      <c r="I1372" s="38"/>
      <c r="J1372" s="39"/>
      <c r="K1372" s="39"/>
      <c r="L1372" s="39"/>
      <c r="M1372" s="39"/>
      <c r="N1372" s="40"/>
      <c r="O1372" s="40"/>
    </row>
    <row r="1373" spans="1:15">
      <c r="A1373" s="28" t="s">
        <v>1688</v>
      </c>
      <c r="B1373" s="37">
        <v>0.004</v>
      </c>
      <c r="C1373" s="37">
        <v>0</v>
      </c>
      <c r="D1373" s="37">
        <v>0.275</v>
      </c>
      <c r="E1373" s="37">
        <v>0</v>
      </c>
      <c r="F1373">
        <v>0.0173</v>
      </c>
      <c r="G1373">
        <v>1.304</v>
      </c>
      <c r="I1373" s="38"/>
      <c r="J1373" s="39"/>
      <c r="K1373" s="39"/>
      <c r="L1373" s="39"/>
      <c r="M1373" s="39"/>
      <c r="N1373" s="40"/>
      <c r="O1373" s="40"/>
    </row>
    <row r="1374" spans="1:15">
      <c r="A1374" s="28" t="s">
        <v>1689</v>
      </c>
      <c r="B1374" s="37">
        <v>0.004</v>
      </c>
      <c r="C1374" s="37">
        <v>0</v>
      </c>
      <c r="D1374" s="37">
        <v>0.265</v>
      </c>
      <c r="E1374" s="37">
        <v>0</v>
      </c>
      <c r="F1374">
        <v>0.017</v>
      </c>
      <c r="G1374">
        <v>1.2965</v>
      </c>
      <c r="I1374" s="38"/>
      <c r="J1374" s="39"/>
      <c r="K1374" s="39"/>
      <c r="L1374" s="39"/>
      <c r="M1374" s="39"/>
      <c r="N1374" s="40"/>
      <c r="O1374" s="40"/>
    </row>
    <row r="1375" spans="1:15">
      <c r="A1375" s="28" t="s">
        <v>1690</v>
      </c>
      <c r="B1375" s="37">
        <v>0.003</v>
      </c>
      <c r="C1375" s="37">
        <v>0</v>
      </c>
      <c r="D1375" s="37">
        <v>0.197</v>
      </c>
      <c r="E1375" s="37">
        <v>0</v>
      </c>
      <c r="F1375">
        <v>0.017</v>
      </c>
      <c r="G1375">
        <v>1.2817</v>
      </c>
      <c r="I1375" s="38"/>
      <c r="J1375" s="39"/>
      <c r="K1375" s="39"/>
      <c r="L1375" s="39"/>
      <c r="M1375" s="39"/>
      <c r="N1375" s="40"/>
      <c r="O1375" s="40"/>
    </row>
    <row r="1376" spans="1:15">
      <c r="A1376" s="28" t="s">
        <v>1691</v>
      </c>
      <c r="B1376" s="37">
        <v>0.003</v>
      </c>
      <c r="C1376" s="37">
        <v>0</v>
      </c>
      <c r="D1376" s="37">
        <v>0.185</v>
      </c>
      <c r="E1376" s="37">
        <v>0</v>
      </c>
      <c r="F1376">
        <v>0.0171</v>
      </c>
      <c r="G1376">
        <v>1.2847</v>
      </c>
      <c r="I1376" s="38"/>
      <c r="J1376" s="39"/>
      <c r="K1376" s="39"/>
      <c r="L1376" s="39"/>
      <c r="M1376" s="39"/>
      <c r="N1376" s="40"/>
      <c r="O1376" s="40"/>
    </row>
    <row r="1377" spans="1:15">
      <c r="A1377" s="28" t="s">
        <v>1692</v>
      </c>
      <c r="B1377" s="37">
        <v>0.002</v>
      </c>
      <c r="C1377" s="37">
        <v>0</v>
      </c>
      <c r="D1377" s="37">
        <v>0.166</v>
      </c>
      <c r="E1377" s="37">
        <v>0</v>
      </c>
      <c r="F1377">
        <v>0.0171</v>
      </c>
      <c r="G1377">
        <v>1.2536</v>
      </c>
      <c r="I1377" s="38"/>
      <c r="J1377" s="39"/>
      <c r="K1377" s="39"/>
      <c r="L1377" s="39"/>
      <c r="M1377" s="39"/>
      <c r="N1377" s="40"/>
      <c r="O1377" s="40"/>
    </row>
    <row r="1378" spans="1:15">
      <c r="A1378" s="28" t="s">
        <v>1693</v>
      </c>
      <c r="B1378" s="37">
        <v>0.002</v>
      </c>
      <c r="C1378" s="37">
        <v>0</v>
      </c>
      <c r="D1378" s="37">
        <v>0.149</v>
      </c>
      <c r="E1378" s="37">
        <v>0</v>
      </c>
      <c r="F1378">
        <v>0.0171</v>
      </c>
      <c r="G1378">
        <v>1.2496</v>
      </c>
      <c r="I1378" s="38"/>
      <c r="J1378" s="39"/>
      <c r="K1378" s="39"/>
      <c r="L1378" s="39"/>
      <c r="M1378" s="39"/>
      <c r="N1378" s="40"/>
      <c r="O1378" s="40"/>
    </row>
    <row r="1379" spans="1:15">
      <c r="A1379" s="28" t="s">
        <v>1694</v>
      </c>
      <c r="B1379" s="37">
        <v>0.002</v>
      </c>
      <c r="C1379" s="37">
        <v>0</v>
      </c>
      <c r="D1379" s="37">
        <v>0.154</v>
      </c>
      <c r="E1379" s="37">
        <v>0</v>
      </c>
      <c r="F1379">
        <v>0.0171</v>
      </c>
      <c r="G1379">
        <v>1.2324</v>
      </c>
      <c r="I1379" s="38"/>
      <c r="J1379" s="39"/>
      <c r="K1379" s="39"/>
      <c r="L1379" s="39"/>
      <c r="M1379" s="39"/>
      <c r="N1379" s="40"/>
      <c r="O1379" s="40"/>
    </row>
    <row r="1380" spans="1:15">
      <c r="A1380" s="28" t="s">
        <v>1695</v>
      </c>
      <c r="B1380" s="37">
        <v>0.002</v>
      </c>
      <c r="C1380" s="37">
        <v>0.002</v>
      </c>
      <c r="D1380" s="37">
        <v>0.144</v>
      </c>
      <c r="E1380" s="37">
        <v>0.213</v>
      </c>
      <c r="F1380">
        <v>0.0171</v>
      </c>
      <c r="G1380">
        <v>1.2119</v>
      </c>
      <c r="I1380" s="38"/>
      <c r="J1380" s="39"/>
      <c r="K1380" s="39"/>
      <c r="L1380" s="39"/>
      <c r="M1380" s="39"/>
      <c r="N1380" s="40"/>
      <c r="O1380" s="40"/>
    </row>
    <row r="1381" spans="1:15">
      <c r="A1381" s="28" t="s">
        <v>1696</v>
      </c>
      <c r="B1381" s="37">
        <v>0.002</v>
      </c>
      <c r="C1381" s="37">
        <v>0</v>
      </c>
      <c r="D1381" s="37">
        <v>0.135</v>
      </c>
      <c r="E1381" s="37">
        <v>0</v>
      </c>
      <c r="F1381">
        <v>0.017</v>
      </c>
      <c r="G1381">
        <v>1.2119</v>
      </c>
      <c r="I1381" s="38"/>
      <c r="J1381" s="39"/>
      <c r="K1381" s="39"/>
      <c r="L1381" s="39"/>
      <c r="M1381" s="39"/>
      <c r="N1381" s="40"/>
      <c r="O1381" s="40"/>
    </row>
    <row r="1382" spans="1:15">
      <c r="A1382" s="28" t="s">
        <v>1697</v>
      </c>
      <c r="B1382" s="37">
        <v>0.002</v>
      </c>
      <c r="C1382" s="37">
        <v>0</v>
      </c>
      <c r="D1382" s="37">
        <v>0.137</v>
      </c>
      <c r="E1382" s="37">
        <v>0</v>
      </c>
      <c r="F1382">
        <v>0.0166</v>
      </c>
      <c r="G1382">
        <v>1.1941</v>
      </c>
      <c r="I1382" s="38"/>
      <c r="J1382" s="39"/>
      <c r="K1382" s="39"/>
      <c r="L1382" s="39"/>
      <c r="M1382" s="39"/>
      <c r="N1382" s="40"/>
      <c r="O1382" s="40"/>
    </row>
    <row r="1383" spans="1:15">
      <c r="A1383" s="28" t="s">
        <v>1698</v>
      </c>
      <c r="B1383" s="37">
        <v>0.003</v>
      </c>
      <c r="C1383" s="37">
        <v>0</v>
      </c>
      <c r="D1383" s="37">
        <v>0.252</v>
      </c>
      <c r="E1383" s="37">
        <v>0</v>
      </c>
      <c r="F1383">
        <v>0.0164</v>
      </c>
      <c r="G1383">
        <v>1.168</v>
      </c>
      <c r="I1383" s="38"/>
      <c r="J1383" s="39"/>
      <c r="K1383" s="39"/>
      <c r="L1383" s="39"/>
      <c r="M1383" s="39"/>
      <c r="N1383" s="40"/>
      <c r="O1383" s="40"/>
    </row>
    <row r="1384" spans="1:15">
      <c r="A1384" s="28" t="s">
        <v>1699</v>
      </c>
      <c r="B1384" s="37">
        <v>0.003</v>
      </c>
      <c r="C1384" s="37">
        <v>0</v>
      </c>
      <c r="D1384" s="37">
        <v>0.211</v>
      </c>
      <c r="E1384" s="37">
        <v>0</v>
      </c>
      <c r="F1384">
        <v>0.0164</v>
      </c>
      <c r="G1384">
        <v>1.154</v>
      </c>
      <c r="I1384" s="38"/>
      <c r="J1384" s="39"/>
      <c r="K1384" s="39"/>
      <c r="L1384" s="39"/>
      <c r="M1384" s="39"/>
      <c r="N1384" s="40"/>
      <c r="O1384" s="40"/>
    </row>
    <row r="1385" spans="1:15">
      <c r="A1385" s="28" t="s">
        <v>1700</v>
      </c>
      <c r="B1385" s="37">
        <v>0.003</v>
      </c>
      <c r="C1385" s="37">
        <v>0</v>
      </c>
      <c r="D1385" s="37">
        <v>0.211</v>
      </c>
      <c r="E1385" s="37">
        <v>0</v>
      </c>
      <c r="F1385">
        <v>0.0163</v>
      </c>
      <c r="G1385">
        <v>1.1407</v>
      </c>
      <c r="I1385" s="38"/>
      <c r="J1385" s="39"/>
      <c r="K1385" s="39"/>
      <c r="L1385" s="39"/>
      <c r="M1385" s="39"/>
      <c r="N1385" s="40"/>
      <c r="O1385" s="40"/>
    </row>
    <row r="1386" spans="1:15">
      <c r="A1386" s="28" t="s">
        <v>1701</v>
      </c>
      <c r="B1386" s="37">
        <v>0.003</v>
      </c>
      <c r="C1386" s="37">
        <v>0</v>
      </c>
      <c r="D1386" s="37">
        <v>0.214</v>
      </c>
      <c r="E1386" s="37">
        <v>0</v>
      </c>
      <c r="F1386">
        <v>0.0162</v>
      </c>
      <c r="G1386">
        <v>1.1313</v>
      </c>
      <c r="I1386" s="38"/>
      <c r="J1386" s="39"/>
      <c r="K1386" s="39"/>
      <c r="L1386" s="39"/>
      <c r="M1386" s="39"/>
      <c r="N1386" s="40"/>
      <c r="O1386" s="40"/>
    </row>
    <row r="1387" spans="1:15">
      <c r="A1387" s="28" t="s">
        <v>1702</v>
      </c>
      <c r="B1387" s="37">
        <v>0.003</v>
      </c>
      <c r="C1387" s="37">
        <v>0</v>
      </c>
      <c r="D1387" s="37">
        <v>0.211</v>
      </c>
      <c r="E1387" s="37">
        <v>0</v>
      </c>
      <c r="F1387">
        <v>0.0162</v>
      </c>
      <c r="G1387">
        <v>1.1221</v>
      </c>
      <c r="I1387" s="38"/>
      <c r="J1387" s="39"/>
      <c r="K1387" s="39"/>
      <c r="L1387" s="39"/>
      <c r="M1387" s="39"/>
      <c r="N1387" s="40"/>
      <c r="O1387" s="40"/>
    </row>
    <row r="1388" spans="1:15">
      <c r="A1388" s="28" t="s">
        <v>1703</v>
      </c>
      <c r="B1388" s="37">
        <v>0.003</v>
      </c>
      <c r="C1388" s="37">
        <v>0</v>
      </c>
      <c r="D1388" s="37">
        <v>0.214</v>
      </c>
      <c r="E1388" s="37">
        <v>0</v>
      </c>
      <c r="F1388">
        <v>0.0162</v>
      </c>
      <c r="G1388">
        <v>1.1155</v>
      </c>
      <c r="I1388" s="38"/>
      <c r="J1388" s="39"/>
      <c r="K1388" s="39"/>
      <c r="L1388" s="39"/>
      <c r="M1388" s="39"/>
      <c r="N1388" s="40"/>
      <c r="O1388" s="40"/>
    </row>
    <row r="1389" spans="1:15">
      <c r="A1389" s="28" t="s">
        <v>1704</v>
      </c>
      <c r="B1389" s="37">
        <v>0.002</v>
      </c>
      <c r="C1389" s="37">
        <v>0</v>
      </c>
      <c r="D1389" s="37">
        <v>0.194</v>
      </c>
      <c r="E1389" s="37">
        <v>0</v>
      </c>
      <c r="F1389">
        <v>0.0161</v>
      </c>
      <c r="G1389">
        <v>1.1094</v>
      </c>
      <c r="I1389" s="38"/>
      <c r="J1389" s="39"/>
      <c r="K1389" s="39"/>
      <c r="L1389" s="39"/>
      <c r="M1389" s="39"/>
      <c r="N1389" s="40"/>
      <c r="O1389" s="40"/>
    </row>
    <row r="1390" spans="1:15">
      <c r="A1390" s="28" t="s">
        <v>1705</v>
      </c>
      <c r="B1390" s="37">
        <v>0.002</v>
      </c>
      <c r="C1390" s="37">
        <v>0</v>
      </c>
      <c r="D1390" s="37">
        <v>0.205</v>
      </c>
      <c r="E1390" s="37">
        <v>0</v>
      </c>
      <c r="F1390">
        <v>0.016</v>
      </c>
      <c r="G1390">
        <v>1.0958</v>
      </c>
      <c r="I1390" s="38"/>
      <c r="J1390" s="39"/>
      <c r="K1390" s="39"/>
      <c r="L1390" s="39"/>
      <c r="M1390" s="39"/>
      <c r="N1390" s="40"/>
      <c r="O1390" s="40"/>
    </row>
    <row r="1391" spans="1:15">
      <c r="A1391" s="28" t="s">
        <v>1706</v>
      </c>
      <c r="B1391" s="37">
        <v>0.002</v>
      </c>
      <c r="C1391" s="37">
        <v>0</v>
      </c>
      <c r="D1391" s="37">
        <v>0.21</v>
      </c>
      <c r="E1391" s="37">
        <v>0</v>
      </c>
      <c r="F1391">
        <v>0.0161</v>
      </c>
      <c r="G1391">
        <v>1.1044</v>
      </c>
      <c r="I1391" s="38"/>
      <c r="J1391" s="39"/>
      <c r="K1391" s="39"/>
      <c r="L1391" s="39"/>
      <c r="M1391" s="39"/>
      <c r="N1391" s="40"/>
      <c r="O1391" s="40"/>
    </row>
    <row r="1392" spans="1:15">
      <c r="A1392" s="28" t="s">
        <v>1707</v>
      </c>
      <c r="B1392" s="37">
        <v>0.002</v>
      </c>
      <c r="C1392" s="37">
        <v>0</v>
      </c>
      <c r="D1392" s="37">
        <v>0.17</v>
      </c>
      <c r="E1392" s="37">
        <v>0</v>
      </c>
      <c r="F1392">
        <v>0.0159</v>
      </c>
      <c r="G1392">
        <v>1.0851</v>
      </c>
      <c r="I1392" s="38"/>
      <c r="J1392" s="39"/>
      <c r="K1392" s="39"/>
      <c r="L1392" s="39"/>
      <c r="M1392" s="39"/>
      <c r="N1392" s="40"/>
      <c r="O1392" s="40"/>
    </row>
    <row r="1393" spans="1:15">
      <c r="A1393" s="28" t="s">
        <v>1708</v>
      </c>
      <c r="B1393" s="37">
        <v>0.002</v>
      </c>
      <c r="C1393" s="37">
        <v>0</v>
      </c>
      <c r="D1393" s="37">
        <v>0.159</v>
      </c>
      <c r="E1393" s="37">
        <v>0</v>
      </c>
      <c r="F1393">
        <v>0.0158</v>
      </c>
      <c r="G1393">
        <v>1.0756</v>
      </c>
      <c r="I1393" s="38"/>
      <c r="J1393" s="39"/>
      <c r="K1393" s="39"/>
      <c r="L1393" s="39"/>
      <c r="M1393" s="39"/>
      <c r="N1393" s="40"/>
      <c r="O1393" s="40"/>
    </row>
    <row r="1394" spans="1:15">
      <c r="A1394" s="28" t="s">
        <v>1709</v>
      </c>
      <c r="B1394" s="37">
        <v>0.002</v>
      </c>
      <c r="C1394" s="37">
        <v>0</v>
      </c>
      <c r="D1394" s="37">
        <v>0.145</v>
      </c>
      <c r="E1394" s="37">
        <v>0</v>
      </c>
      <c r="F1394">
        <v>0.0158</v>
      </c>
      <c r="G1394">
        <v>1.06</v>
      </c>
      <c r="I1394" s="38"/>
      <c r="J1394" s="39"/>
      <c r="K1394" s="39"/>
      <c r="L1394" s="39"/>
      <c r="M1394" s="39"/>
      <c r="N1394" s="40"/>
      <c r="O1394" s="40"/>
    </row>
    <row r="1395" spans="1:15">
      <c r="A1395" s="28" t="s">
        <v>1710</v>
      </c>
      <c r="B1395" s="37">
        <v>0.002</v>
      </c>
      <c r="C1395" s="37">
        <v>0</v>
      </c>
      <c r="D1395" s="37">
        <v>0.146</v>
      </c>
      <c r="E1395" s="37">
        <v>0</v>
      </c>
      <c r="F1395">
        <v>0.0158</v>
      </c>
      <c r="G1395">
        <v>1.0279</v>
      </c>
      <c r="I1395" s="38"/>
      <c r="J1395" s="39"/>
      <c r="K1395" s="39"/>
      <c r="L1395" s="39"/>
      <c r="M1395" s="39"/>
      <c r="N1395" s="40"/>
      <c r="O1395" s="40"/>
    </row>
    <row r="1396" spans="1:15">
      <c r="A1396" s="28" t="s">
        <v>1711</v>
      </c>
      <c r="B1396" s="37">
        <v>0.002</v>
      </c>
      <c r="C1396" s="37">
        <v>0</v>
      </c>
      <c r="D1396" s="37">
        <v>0.141</v>
      </c>
      <c r="E1396" s="37">
        <v>0</v>
      </c>
      <c r="F1396">
        <v>0.0158</v>
      </c>
      <c r="G1396">
        <v>1.0279</v>
      </c>
      <c r="I1396" s="38"/>
      <c r="J1396" s="39"/>
      <c r="K1396" s="39"/>
      <c r="L1396" s="39"/>
      <c r="M1396" s="39"/>
      <c r="N1396" s="40"/>
      <c r="O1396" s="40"/>
    </row>
    <row r="1397" spans="1:15">
      <c r="A1397" s="28" t="s">
        <v>1712</v>
      </c>
      <c r="B1397" s="37">
        <v>0.002</v>
      </c>
      <c r="C1397" s="37">
        <v>0</v>
      </c>
      <c r="D1397" s="37">
        <v>0.14</v>
      </c>
      <c r="E1397" s="37">
        <v>0</v>
      </c>
      <c r="F1397">
        <v>0.0158</v>
      </c>
      <c r="G1397">
        <v>1.0279</v>
      </c>
      <c r="I1397" s="38"/>
      <c r="J1397" s="39"/>
      <c r="K1397" s="39"/>
      <c r="L1397" s="39"/>
      <c r="M1397" s="39"/>
      <c r="N1397" s="40"/>
      <c r="O1397" s="40"/>
    </row>
    <row r="1398" spans="1:15">
      <c r="A1398" s="28" t="s">
        <v>1713</v>
      </c>
      <c r="B1398" s="37">
        <v>0.002</v>
      </c>
      <c r="C1398" s="37">
        <v>0</v>
      </c>
      <c r="D1398" s="37">
        <v>0.196</v>
      </c>
      <c r="E1398" s="37">
        <v>0</v>
      </c>
      <c r="F1398">
        <v>0.0156</v>
      </c>
      <c r="G1398">
        <v>1.015</v>
      </c>
      <c r="I1398" s="38"/>
      <c r="J1398" s="39"/>
      <c r="K1398" s="39"/>
      <c r="L1398" s="39"/>
      <c r="M1398" s="39"/>
      <c r="N1398" s="40"/>
      <c r="O1398" s="40"/>
    </row>
    <row r="1399" spans="1:15">
      <c r="A1399" s="28" t="s">
        <v>1714</v>
      </c>
      <c r="B1399" s="37">
        <v>0.002</v>
      </c>
      <c r="C1399" s="37">
        <v>0</v>
      </c>
      <c r="D1399" s="37">
        <v>0.176</v>
      </c>
      <c r="E1399" s="37">
        <v>0</v>
      </c>
      <c r="F1399">
        <v>0.0156</v>
      </c>
      <c r="G1399">
        <v>1.0114</v>
      </c>
      <c r="I1399" s="38"/>
      <c r="J1399" s="39"/>
      <c r="K1399" s="39"/>
      <c r="L1399" s="39"/>
      <c r="M1399" s="39"/>
      <c r="N1399" s="40"/>
      <c r="O1399" s="40"/>
    </row>
    <row r="1400" spans="1:15">
      <c r="A1400" s="28" t="s">
        <v>1715</v>
      </c>
      <c r="B1400" s="37">
        <v>0.002</v>
      </c>
      <c r="C1400" s="37">
        <v>0</v>
      </c>
      <c r="D1400" s="37">
        <v>0.178</v>
      </c>
      <c r="E1400" s="37">
        <v>0</v>
      </c>
      <c r="F1400">
        <v>0.0156</v>
      </c>
      <c r="G1400">
        <v>1.0011</v>
      </c>
      <c r="I1400" s="38"/>
      <c r="J1400" s="39"/>
      <c r="K1400" s="39"/>
      <c r="L1400" s="39"/>
      <c r="M1400" s="39"/>
      <c r="N1400" s="40"/>
      <c r="O1400" s="40"/>
    </row>
    <row r="1401" spans="1:15">
      <c r="A1401" s="28" t="s">
        <v>1716</v>
      </c>
      <c r="B1401" s="37">
        <v>0.002</v>
      </c>
      <c r="C1401" s="37">
        <v>0</v>
      </c>
      <c r="D1401" s="37">
        <v>0.183</v>
      </c>
      <c r="E1401" s="37">
        <v>0</v>
      </c>
      <c r="F1401">
        <v>0.0153</v>
      </c>
      <c r="G1401">
        <v>0.9724</v>
      </c>
      <c r="I1401" s="38"/>
      <c r="J1401" s="39"/>
      <c r="K1401" s="39"/>
      <c r="L1401" s="39"/>
      <c r="M1401" s="39"/>
      <c r="N1401" s="40"/>
      <c r="O1401" s="40"/>
    </row>
    <row r="1402" spans="1:15">
      <c r="A1402" s="28" t="s">
        <v>1717</v>
      </c>
      <c r="B1402" s="37">
        <v>0.001</v>
      </c>
      <c r="C1402" s="37">
        <v>0</v>
      </c>
      <c r="D1402" s="37">
        <v>0.137</v>
      </c>
      <c r="E1402" s="37">
        <v>0</v>
      </c>
      <c r="F1402">
        <v>0.0152</v>
      </c>
      <c r="G1402">
        <v>0.9754</v>
      </c>
      <c r="I1402" s="38"/>
      <c r="J1402" s="39"/>
      <c r="K1402" s="39"/>
      <c r="L1402" s="39"/>
      <c r="M1402" s="39"/>
      <c r="N1402" s="40"/>
      <c r="O1402" s="40"/>
    </row>
    <row r="1403" spans="1:15">
      <c r="A1403" s="28" t="s">
        <v>1718</v>
      </c>
      <c r="B1403" s="37">
        <v>0.001</v>
      </c>
      <c r="C1403" s="37">
        <v>0</v>
      </c>
      <c r="D1403" s="37">
        <v>0.131</v>
      </c>
      <c r="E1403" s="37">
        <v>0</v>
      </c>
      <c r="F1403">
        <v>0.0151</v>
      </c>
      <c r="G1403">
        <v>0.9632</v>
      </c>
      <c r="I1403" s="38"/>
      <c r="J1403" s="39"/>
      <c r="K1403" s="39"/>
      <c r="L1403" s="39"/>
      <c r="M1403" s="39"/>
      <c r="N1403" s="40"/>
      <c r="O1403" s="40"/>
    </row>
    <row r="1404" spans="1:15">
      <c r="A1404" s="28" t="s">
        <v>1719</v>
      </c>
      <c r="B1404" s="37">
        <v>0.001</v>
      </c>
      <c r="C1404" s="37">
        <v>0</v>
      </c>
      <c r="D1404" s="37">
        <v>0.12</v>
      </c>
      <c r="E1404" s="37">
        <v>0</v>
      </c>
      <c r="F1404">
        <v>0.0151</v>
      </c>
      <c r="G1404">
        <v>0.9514</v>
      </c>
      <c r="I1404" s="38"/>
      <c r="J1404" s="39"/>
      <c r="K1404" s="39"/>
      <c r="L1404" s="39"/>
      <c r="M1404" s="39"/>
      <c r="N1404" s="40"/>
      <c r="O1404" s="40"/>
    </row>
    <row r="1405" spans="1:15">
      <c r="A1405" s="28" t="s">
        <v>1720</v>
      </c>
      <c r="B1405" s="37">
        <v>0.002</v>
      </c>
      <c r="C1405" s="37">
        <v>0</v>
      </c>
      <c r="D1405" s="37">
        <v>0.156</v>
      </c>
      <c r="E1405" s="37">
        <v>0</v>
      </c>
      <c r="F1405">
        <v>0.015</v>
      </c>
      <c r="G1405">
        <v>0.9299</v>
      </c>
      <c r="I1405" s="38"/>
      <c r="J1405" s="39"/>
      <c r="K1405" s="39"/>
      <c r="L1405" s="39"/>
      <c r="M1405" s="39"/>
      <c r="N1405" s="40"/>
      <c r="O1405" s="40"/>
    </row>
    <row r="1406" spans="1:15">
      <c r="A1406" s="28" t="s">
        <v>1721</v>
      </c>
      <c r="B1406" s="37">
        <v>0.002</v>
      </c>
      <c r="C1406" s="37">
        <v>0</v>
      </c>
      <c r="D1406" s="37">
        <v>0.159</v>
      </c>
      <c r="E1406" s="37">
        <v>0</v>
      </c>
      <c r="F1406">
        <v>0.015</v>
      </c>
      <c r="G1406">
        <v>0.9224</v>
      </c>
      <c r="I1406" s="38"/>
      <c r="J1406" s="39"/>
      <c r="K1406" s="39"/>
      <c r="L1406" s="39"/>
      <c r="M1406" s="39"/>
      <c r="N1406" s="40"/>
      <c r="O1406" s="40"/>
    </row>
    <row r="1407" spans="1:15">
      <c r="A1407" s="28" t="s">
        <v>1722</v>
      </c>
      <c r="B1407" s="37">
        <v>0.001</v>
      </c>
      <c r="C1407" s="37">
        <v>0</v>
      </c>
      <c r="D1407" s="37">
        <v>0.135</v>
      </c>
      <c r="E1407" s="37">
        <v>0</v>
      </c>
      <c r="F1407">
        <v>0.015</v>
      </c>
      <c r="G1407">
        <v>0.9071</v>
      </c>
      <c r="I1407" s="38"/>
      <c r="J1407" s="39"/>
      <c r="K1407" s="39"/>
      <c r="L1407" s="39"/>
      <c r="M1407" s="39"/>
      <c r="N1407" s="40"/>
      <c r="O1407" s="40"/>
    </row>
    <row r="1408" spans="1:15">
      <c r="A1408" s="28" t="s">
        <v>1723</v>
      </c>
      <c r="B1408" s="37">
        <v>0.001</v>
      </c>
      <c r="C1408" s="37">
        <v>0</v>
      </c>
      <c r="D1408" s="37">
        <v>0.157</v>
      </c>
      <c r="E1408" s="37">
        <v>0</v>
      </c>
      <c r="F1408">
        <v>0.0149</v>
      </c>
      <c r="G1408">
        <v>0.8923</v>
      </c>
      <c r="I1408" s="38"/>
      <c r="J1408" s="39"/>
      <c r="K1408" s="39"/>
      <c r="L1408" s="39"/>
      <c r="M1408" s="39"/>
      <c r="N1408" s="40"/>
      <c r="O1408" s="40"/>
    </row>
    <row r="1409" spans="1:15">
      <c r="A1409" s="28" t="s">
        <v>1724</v>
      </c>
      <c r="B1409" s="37">
        <v>0.001</v>
      </c>
      <c r="C1409" s="37">
        <v>0</v>
      </c>
      <c r="D1409" s="37">
        <v>0.135</v>
      </c>
      <c r="E1409" s="37">
        <v>0</v>
      </c>
      <c r="F1409">
        <v>0.0149</v>
      </c>
      <c r="G1409">
        <v>0.8709</v>
      </c>
      <c r="I1409" s="38"/>
      <c r="J1409" s="39"/>
      <c r="K1409" s="39"/>
      <c r="L1409" s="39"/>
      <c r="M1409" s="39"/>
      <c r="N1409" s="40"/>
      <c r="O1409" s="40"/>
    </row>
    <row r="1410" spans="1:15">
      <c r="A1410" s="28" t="s">
        <v>1725</v>
      </c>
      <c r="B1410" s="37">
        <v>0.001</v>
      </c>
      <c r="C1410" s="37">
        <v>0</v>
      </c>
      <c r="D1410" s="37">
        <v>0.139</v>
      </c>
      <c r="E1410" s="37">
        <v>0</v>
      </c>
      <c r="F1410">
        <v>0.0149</v>
      </c>
      <c r="G1410">
        <v>0.8633</v>
      </c>
      <c r="I1410" s="38"/>
      <c r="J1410" s="39"/>
      <c r="K1410" s="39"/>
      <c r="L1410" s="39"/>
      <c r="M1410" s="39"/>
      <c r="N1410" s="40"/>
      <c r="O1410" s="40"/>
    </row>
    <row r="1411" spans="1:15">
      <c r="A1411" s="28" t="s">
        <v>1726</v>
      </c>
      <c r="B1411" s="37">
        <v>0.001</v>
      </c>
      <c r="C1411" s="37">
        <v>0</v>
      </c>
      <c r="D1411" s="37">
        <v>0.133</v>
      </c>
      <c r="E1411" s="37">
        <v>0</v>
      </c>
      <c r="F1411">
        <v>0.0148</v>
      </c>
      <c r="G1411">
        <v>0.8612</v>
      </c>
      <c r="I1411" s="38"/>
      <c r="J1411" s="39"/>
      <c r="K1411" s="39"/>
      <c r="L1411" s="39"/>
      <c r="M1411" s="39"/>
      <c r="N1411" s="40"/>
      <c r="O1411" s="40"/>
    </row>
    <row r="1412" spans="1:15">
      <c r="A1412" s="28" t="s">
        <v>1727</v>
      </c>
      <c r="B1412" s="37">
        <v>0.001</v>
      </c>
      <c r="C1412" s="37">
        <v>0</v>
      </c>
      <c r="D1412" s="37">
        <v>0.109</v>
      </c>
      <c r="E1412" s="37">
        <v>0</v>
      </c>
      <c r="F1412">
        <v>0.0147</v>
      </c>
      <c r="G1412">
        <v>0.86</v>
      </c>
      <c r="I1412" s="38"/>
      <c r="J1412" s="39"/>
      <c r="K1412" s="39"/>
      <c r="L1412" s="39"/>
      <c r="M1412" s="39"/>
      <c r="N1412" s="40"/>
      <c r="O1412" s="40"/>
    </row>
    <row r="1413" spans="1:15">
      <c r="A1413" s="28" t="s">
        <v>1728</v>
      </c>
      <c r="B1413" s="37">
        <v>0.001</v>
      </c>
      <c r="C1413" s="37">
        <v>0</v>
      </c>
      <c r="D1413" s="37">
        <v>0.08</v>
      </c>
      <c r="E1413" s="37">
        <v>0</v>
      </c>
      <c r="F1413">
        <v>0.0147</v>
      </c>
      <c r="G1413">
        <v>0.8405</v>
      </c>
      <c r="I1413" s="38"/>
      <c r="J1413" s="39"/>
      <c r="K1413" s="39"/>
      <c r="L1413" s="39"/>
      <c r="M1413" s="39"/>
      <c r="N1413" s="40"/>
      <c r="O1413" s="40"/>
    </row>
    <row r="1414" spans="1:15">
      <c r="A1414" s="28" t="s">
        <v>1729</v>
      </c>
      <c r="B1414" s="37">
        <v>0.001</v>
      </c>
      <c r="C1414" s="37">
        <v>0</v>
      </c>
      <c r="D1414" s="37">
        <v>0.082</v>
      </c>
      <c r="E1414" s="37">
        <v>0</v>
      </c>
      <c r="F1414">
        <v>0.0145</v>
      </c>
      <c r="G1414">
        <v>0.8335</v>
      </c>
      <c r="I1414" s="38"/>
      <c r="J1414" s="39"/>
      <c r="K1414" s="39"/>
      <c r="L1414" s="39"/>
      <c r="M1414" s="39"/>
      <c r="N1414" s="40"/>
      <c r="O1414" s="40"/>
    </row>
    <row r="1415" spans="1:15">
      <c r="A1415" s="28" t="s">
        <v>1730</v>
      </c>
      <c r="B1415" s="37">
        <v>0.001</v>
      </c>
      <c r="C1415" s="37">
        <v>0</v>
      </c>
      <c r="D1415" s="37">
        <v>0.11</v>
      </c>
      <c r="E1415" s="37">
        <v>0</v>
      </c>
      <c r="F1415">
        <v>0.0145</v>
      </c>
      <c r="G1415">
        <v>0.8313</v>
      </c>
      <c r="I1415" s="38"/>
      <c r="J1415" s="39"/>
      <c r="K1415" s="39"/>
      <c r="L1415" s="39"/>
      <c r="M1415" s="39"/>
      <c r="N1415" s="40"/>
      <c r="O1415" s="40"/>
    </row>
    <row r="1416" spans="1:15">
      <c r="A1416" s="28" t="s">
        <v>1731</v>
      </c>
      <c r="B1416" s="37">
        <v>0.001</v>
      </c>
      <c r="C1416" s="37">
        <v>0</v>
      </c>
      <c r="D1416" s="37">
        <v>0.067</v>
      </c>
      <c r="E1416" s="37">
        <v>0</v>
      </c>
      <c r="F1416">
        <v>0.0145</v>
      </c>
      <c r="G1416">
        <v>0.7576</v>
      </c>
      <c r="I1416" s="38"/>
      <c r="J1416" s="39"/>
      <c r="K1416" s="39"/>
      <c r="L1416" s="39"/>
      <c r="M1416" s="39"/>
      <c r="N1416" s="40"/>
      <c r="O1416" s="40"/>
    </row>
    <row r="1417" spans="1:15">
      <c r="A1417" s="28" t="s">
        <v>1732</v>
      </c>
      <c r="B1417" s="37">
        <v>0</v>
      </c>
      <c r="C1417" s="37">
        <v>0</v>
      </c>
      <c r="D1417" s="37">
        <v>0.05</v>
      </c>
      <c r="E1417" s="37">
        <v>0</v>
      </c>
      <c r="F1417">
        <v>0.0145</v>
      </c>
      <c r="G1417">
        <v>0.7446</v>
      </c>
      <c r="I1417" s="38"/>
      <c r="J1417" s="39"/>
      <c r="K1417" s="39"/>
      <c r="L1417" s="39"/>
      <c r="M1417" s="39"/>
      <c r="N1417" s="40"/>
      <c r="O1417" s="40"/>
    </row>
    <row r="1418" spans="1:15">
      <c r="A1418" s="28" t="s">
        <v>1733</v>
      </c>
      <c r="B1418" s="37">
        <v>0.001</v>
      </c>
      <c r="C1418" s="37">
        <v>0</v>
      </c>
      <c r="D1418" s="37">
        <v>0.061</v>
      </c>
      <c r="E1418" s="37">
        <v>0</v>
      </c>
      <c r="F1418">
        <v>0.0144</v>
      </c>
      <c r="G1418">
        <v>0.7356</v>
      </c>
      <c r="I1418" s="38"/>
      <c r="J1418" s="39"/>
      <c r="K1418" s="39"/>
      <c r="L1418" s="39"/>
      <c r="M1418" s="39"/>
      <c r="N1418" s="40"/>
      <c r="O1418" s="40"/>
    </row>
    <row r="1419" spans="1:15">
      <c r="A1419" s="28" t="s">
        <v>1734</v>
      </c>
      <c r="B1419" s="37">
        <v>0.001</v>
      </c>
      <c r="C1419" s="37">
        <v>0</v>
      </c>
      <c r="D1419" s="37">
        <v>0.07</v>
      </c>
      <c r="E1419" s="37">
        <v>0</v>
      </c>
      <c r="F1419">
        <v>0.0144</v>
      </c>
      <c r="G1419">
        <v>0.7342</v>
      </c>
      <c r="I1419" s="38"/>
      <c r="J1419" s="39"/>
      <c r="K1419" s="39"/>
      <c r="L1419" s="39"/>
      <c r="M1419" s="39"/>
      <c r="N1419" s="40"/>
      <c r="O1419" s="40"/>
    </row>
    <row r="1420" spans="1:15">
      <c r="A1420" s="28" t="s">
        <v>1735</v>
      </c>
      <c r="B1420" s="37">
        <v>0.001</v>
      </c>
      <c r="C1420" s="37">
        <v>0</v>
      </c>
      <c r="D1420" s="37">
        <v>0.069</v>
      </c>
      <c r="E1420" s="37">
        <v>0</v>
      </c>
      <c r="F1420">
        <v>0.0142</v>
      </c>
      <c r="G1420">
        <v>0.7342</v>
      </c>
      <c r="I1420" s="38"/>
      <c r="J1420" s="39"/>
      <c r="K1420" s="39"/>
      <c r="L1420" s="39"/>
      <c r="M1420" s="39"/>
      <c r="N1420" s="40"/>
      <c r="O1420" s="40"/>
    </row>
    <row r="1421" spans="1:15">
      <c r="A1421" s="28" t="s">
        <v>1736</v>
      </c>
      <c r="B1421" s="37">
        <v>0</v>
      </c>
      <c r="C1421" s="37">
        <v>0</v>
      </c>
      <c r="D1421" s="37">
        <v>0.055</v>
      </c>
      <c r="E1421" s="37">
        <v>0</v>
      </c>
      <c r="F1421">
        <v>0.0142</v>
      </c>
      <c r="G1421">
        <v>0.7377</v>
      </c>
      <c r="I1421" s="38"/>
      <c r="J1421" s="39"/>
      <c r="K1421" s="39"/>
      <c r="L1421" s="39"/>
      <c r="M1421" s="39"/>
      <c r="N1421" s="40"/>
      <c r="O1421" s="40"/>
    </row>
    <row r="1422" spans="1:15">
      <c r="A1422" s="28" t="s">
        <v>1737</v>
      </c>
      <c r="B1422" s="37">
        <v>0</v>
      </c>
      <c r="C1422" s="37">
        <v>0</v>
      </c>
      <c r="D1422" s="37">
        <v>0.048</v>
      </c>
      <c r="E1422" s="37">
        <v>0</v>
      </c>
      <c r="F1422">
        <v>0.0141</v>
      </c>
      <c r="G1422">
        <v>0.7377</v>
      </c>
      <c r="I1422" s="38"/>
      <c r="J1422" s="39"/>
      <c r="K1422" s="39"/>
      <c r="L1422" s="39"/>
      <c r="M1422" s="39"/>
      <c r="N1422" s="40"/>
      <c r="O1422" s="40"/>
    </row>
    <row r="1423" spans="1:15">
      <c r="A1423" s="28" t="s">
        <v>1738</v>
      </c>
      <c r="B1423" s="37">
        <v>0</v>
      </c>
      <c r="C1423" s="37">
        <v>0</v>
      </c>
      <c r="D1423" s="37">
        <v>0.061</v>
      </c>
      <c r="E1423" s="37">
        <v>0</v>
      </c>
      <c r="F1423">
        <v>0.014</v>
      </c>
      <c r="G1423">
        <v>0.7377</v>
      </c>
      <c r="I1423" s="38"/>
      <c r="J1423" s="39"/>
      <c r="K1423" s="39"/>
      <c r="L1423" s="39"/>
      <c r="M1423" s="39"/>
      <c r="N1423" s="40"/>
      <c r="O1423" s="40"/>
    </row>
    <row r="1424" spans="1:15">
      <c r="A1424" s="28" t="s">
        <v>1739</v>
      </c>
      <c r="B1424" s="37">
        <v>0.001</v>
      </c>
      <c r="C1424" s="37">
        <v>0</v>
      </c>
      <c r="D1424" s="37">
        <v>0.098</v>
      </c>
      <c r="E1424" s="37">
        <v>0</v>
      </c>
      <c r="F1424">
        <v>0.014</v>
      </c>
      <c r="G1424">
        <v>0.7362</v>
      </c>
      <c r="I1424" s="38"/>
      <c r="J1424" s="39"/>
      <c r="K1424" s="39"/>
      <c r="L1424" s="39"/>
      <c r="M1424" s="39"/>
      <c r="N1424" s="40"/>
      <c r="O1424" s="40"/>
    </row>
    <row r="1425" spans="1:15">
      <c r="A1425" s="28" t="s">
        <v>1740</v>
      </c>
      <c r="B1425" s="37">
        <v>0.001</v>
      </c>
      <c r="C1425" s="37">
        <v>0</v>
      </c>
      <c r="D1425" s="37">
        <v>0.128</v>
      </c>
      <c r="E1425" s="37">
        <v>0</v>
      </c>
      <c r="F1425">
        <v>0.014</v>
      </c>
      <c r="G1425">
        <v>0.7307</v>
      </c>
      <c r="I1425" s="38"/>
      <c r="J1425" s="39"/>
      <c r="K1425" s="39"/>
      <c r="L1425" s="39"/>
      <c r="M1425" s="39"/>
      <c r="N1425" s="40"/>
      <c r="O1425" s="40"/>
    </row>
    <row r="1426" spans="1:15">
      <c r="A1426" s="28" t="s">
        <v>1741</v>
      </c>
      <c r="B1426" s="37">
        <v>0.001</v>
      </c>
      <c r="C1426" s="37">
        <v>0</v>
      </c>
      <c r="D1426" s="37">
        <v>0.113</v>
      </c>
      <c r="E1426" s="37">
        <v>0</v>
      </c>
      <c r="F1426">
        <v>0.0138</v>
      </c>
      <c r="G1426">
        <v>0.7125</v>
      </c>
      <c r="I1426" s="38"/>
      <c r="J1426" s="39"/>
      <c r="K1426" s="39"/>
      <c r="L1426" s="39"/>
      <c r="M1426" s="39"/>
      <c r="N1426" s="40"/>
      <c r="O1426" s="40"/>
    </row>
    <row r="1427" spans="1:15">
      <c r="A1427" s="28" t="s">
        <v>1742</v>
      </c>
      <c r="B1427" s="37">
        <v>0.001</v>
      </c>
      <c r="C1427" s="37">
        <v>0</v>
      </c>
      <c r="D1427" s="37">
        <v>0.11</v>
      </c>
      <c r="E1427" s="37">
        <v>0</v>
      </c>
      <c r="F1427">
        <v>0.0138</v>
      </c>
      <c r="G1427">
        <v>0.6947</v>
      </c>
      <c r="I1427" s="38"/>
      <c r="J1427" s="39"/>
      <c r="K1427" s="39"/>
      <c r="L1427" s="39"/>
      <c r="M1427" s="39"/>
      <c r="N1427" s="40"/>
      <c r="O1427" s="40"/>
    </row>
    <row r="1428" spans="1:15">
      <c r="A1428" s="28" t="s">
        <v>1743</v>
      </c>
      <c r="B1428" s="37">
        <v>0.001</v>
      </c>
      <c r="C1428" s="37">
        <v>0</v>
      </c>
      <c r="D1428" s="37">
        <v>0.101</v>
      </c>
      <c r="E1428" s="37">
        <v>0</v>
      </c>
      <c r="F1428">
        <v>0.0137</v>
      </c>
      <c r="G1428">
        <v>0.6939</v>
      </c>
      <c r="I1428" s="38"/>
      <c r="J1428" s="39"/>
      <c r="K1428" s="39"/>
      <c r="L1428" s="39"/>
      <c r="M1428" s="39"/>
      <c r="N1428" s="40"/>
      <c r="O1428" s="40"/>
    </row>
    <row r="1429" spans="1:15">
      <c r="A1429" s="28" t="s">
        <v>1744</v>
      </c>
      <c r="B1429" s="37">
        <v>0.001</v>
      </c>
      <c r="C1429" s="37">
        <v>0</v>
      </c>
      <c r="D1429" s="37">
        <v>0.109</v>
      </c>
      <c r="E1429" s="37">
        <v>0</v>
      </c>
      <c r="F1429">
        <v>0.0137</v>
      </c>
      <c r="G1429">
        <v>0.6939</v>
      </c>
      <c r="I1429" s="38"/>
      <c r="J1429" s="39"/>
      <c r="K1429" s="39"/>
      <c r="L1429" s="39"/>
      <c r="M1429" s="39"/>
      <c r="N1429" s="40"/>
      <c r="O1429" s="40"/>
    </row>
    <row r="1430" spans="1:15">
      <c r="A1430" s="28" t="s">
        <v>1745</v>
      </c>
      <c r="B1430" s="37">
        <v>0.001</v>
      </c>
      <c r="C1430" s="37">
        <v>0</v>
      </c>
      <c r="D1430" s="37">
        <v>0.11</v>
      </c>
      <c r="E1430" s="37">
        <v>0</v>
      </c>
      <c r="F1430">
        <v>0.0136</v>
      </c>
      <c r="G1430">
        <v>0.6939</v>
      </c>
      <c r="I1430" s="38"/>
      <c r="J1430" s="39"/>
      <c r="K1430" s="39"/>
      <c r="L1430" s="39"/>
      <c r="M1430" s="39"/>
      <c r="N1430" s="40"/>
      <c r="O1430" s="40"/>
    </row>
    <row r="1431" spans="1:15">
      <c r="A1431" s="28" t="s">
        <v>1746</v>
      </c>
      <c r="B1431" s="37">
        <v>0.001</v>
      </c>
      <c r="C1431" s="37">
        <v>0</v>
      </c>
      <c r="D1431" s="37">
        <v>0.148</v>
      </c>
      <c r="E1431" s="37">
        <v>0</v>
      </c>
      <c r="F1431">
        <v>0.0135</v>
      </c>
      <c r="G1431">
        <v>0.6939</v>
      </c>
      <c r="I1431" s="38"/>
      <c r="J1431" s="39"/>
      <c r="K1431" s="39"/>
      <c r="L1431" s="39"/>
      <c r="M1431" s="39"/>
      <c r="N1431" s="40"/>
      <c r="O1431" s="40"/>
    </row>
    <row r="1432" spans="1:15">
      <c r="A1432" s="28" t="s">
        <v>1747</v>
      </c>
      <c r="B1432" s="37">
        <v>0.001</v>
      </c>
      <c r="C1432" s="37">
        <v>0</v>
      </c>
      <c r="D1432" s="37">
        <v>0.124</v>
      </c>
      <c r="E1432" s="37">
        <v>0</v>
      </c>
      <c r="F1432">
        <v>0.0135</v>
      </c>
      <c r="G1432">
        <v>0.6901</v>
      </c>
      <c r="I1432" s="38"/>
      <c r="J1432" s="39"/>
      <c r="K1432" s="39"/>
      <c r="L1432" s="39"/>
      <c r="M1432" s="39"/>
      <c r="N1432" s="40"/>
      <c r="O1432" s="40"/>
    </row>
    <row r="1433" spans="1:15">
      <c r="A1433" s="28" t="s">
        <v>1748</v>
      </c>
      <c r="B1433" s="37">
        <v>0.001</v>
      </c>
      <c r="C1433" s="37">
        <v>0</v>
      </c>
      <c r="D1433" s="37">
        <v>0.136</v>
      </c>
      <c r="E1433" s="37">
        <v>0</v>
      </c>
      <c r="F1433">
        <v>0.0135</v>
      </c>
      <c r="G1433">
        <v>0.6901</v>
      </c>
      <c r="I1433" s="38"/>
      <c r="J1433" s="39"/>
      <c r="K1433" s="39"/>
      <c r="L1433" s="39"/>
      <c r="M1433" s="39"/>
      <c r="N1433" s="40"/>
      <c r="O1433" s="40"/>
    </row>
    <row r="1434" spans="1:15">
      <c r="A1434" s="28" t="s">
        <v>1749</v>
      </c>
      <c r="B1434" s="37">
        <v>0.001</v>
      </c>
      <c r="C1434" s="37">
        <v>0</v>
      </c>
      <c r="D1434" s="37">
        <v>0.136</v>
      </c>
      <c r="E1434" s="37">
        <v>0</v>
      </c>
      <c r="F1434">
        <v>0.0134</v>
      </c>
      <c r="G1434">
        <v>0.6816</v>
      </c>
      <c r="I1434" s="38"/>
      <c r="J1434" s="39"/>
      <c r="K1434" s="39"/>
      <c r="L1434" s="39"/>
      <c r="M1434" s="39"/>
      <c r="N1434" s="40"/>
      <c r="O1434" s="40"/>
    </row>
    <row r="1435" spans="1:15">
      <c r="A1435" s="28" t="s">
        <v>1750</v>
      </c>
      <c r="B1435" s="37">
        <v>0.001</v>
      </c>
      <c r="C1435" s="37">
        <v>0</v>
      </c>
      <c r="D1435" s="37">
        <v>0.074</v>
      </c>
      <c r="E1435" s="37">
        <v>0</v>
      </c>
      <c r="F1435">
        <v>0.0133</v>
      </c>
      <c r="G1435">
        <v>0.6779</v>
      </c>
      <c r="I1435" s="38"/>
      <c r="J1435" s="39"/>
      <c r="K1435" s="39"/>
      <c r="L1435" s="39"/>
      <c r="M1435" s="39"/>
      <c r="N1435" s="40"/>
      <c r="O1435" s="40"/>
    </row>
    <row r="1436" spans="1:15">
      <c r="A1436" s="28" t="s">
        <v>1751</v>
      </c>
      <c r="B1436" s="37">
        <v>0.001</v>
      </c>
      <c r="C1436" s="37">
        <v>0</v>
      </c>
      <c r="D1436" s="37">
        <v>0.1</v>
      </c>
      <c r="E1436" s="37">
        <v>0</v>
      </c>
      <c r="F1436">
        <v>0.0132</v>
      </c>
      <c r="G1436">
        <v>0.675</v>
      </c>
      <c r="I1436" s="38"/>
      <c r="J1436" s="39"/>
      <c r="K1436" s="39"/>
      <c r="L1436" s="39"/>
      <c r="M1436" s="39"/>
      <c r="N1436" s="40"/>
      <c r="O1436" s="40"/>
    </row>
    <row r="1437" spans="1:15">
      <c r="A1437" s="28" t="s">
        <v>1752</v>
      </c>
      <c r="B1437" s="37">
        <v>0.001</v>
      </c>
      <c r="C1437" s="37">
        <v>0</v>
      </c>
      <c r="D1437" s="37">
        <v>0.107</v>
      </c>
      <c r="E1437" s="37">
        <v>0</v>
      </c>
      <c r="F1437">
        <v>0.0132</v>
      </c>
      <c r="G1437">
        <v>0.6758</v>
      </c>
      <c r="I1437" s="38"/>
      <c r="J1437" s="39"/>
      <c r="K1437" s="39"/>
      <c r="L1437" s="39"/>
      <c r="M1437" s="39"/>
      <c r="N1437" s="40"/>
      <c r="O1437" s="40"/>
    </row>
    <row r="1438" spans="1:15">
      <c r="A1438" s="28" t="s">
        <v>1753</v>
      </c>
      <c r="B1438" s="37">
        <v>0.001</v>
      </c>
      <c r="C1438" s="37">
        <v>0</v>
      </c>
      <c r="D1438" s="37">
        <v>0.126</v>
      </c>
      <c r="E1438" s="37">
        <v>0</v>
      </c>
      <c r="F1438">
        <v>0.0132</v>
      </c>
      <c r="G1438">
        <v>0.6758</v>
      </c>
      <c r="I1438" s="38"/>
      <c r="J1438" s="39"/>
      <c r="K1438" s="39"/>
      <c r="L1438" s="39"/>
      <c r="M1438" s="39"/>
      <c r="N1438" s="40"/>
      <c r="O1438" s="40"/>
    </row>
    <row r="1439" spans="1:15">
      <c r="A1439" s="28" t="s">
        <v>1754</v>
      </c>
      <c r="B1439" s="37">
        <v>0.001</v>
      </c>
      <c r="C1439" s="37">
        <v>0</v>
      </c>
      <c r="D1439" s="37">
        <v>0.162</v>
      </c>
      <c r="E1439" s="37">
        <v>0</v>
      </c>
      <c r="F1439">
        <v>0.0131</v>
      </c>
      <c r="G1439">
        <v>0.6758</v>
      </c>
      <c r="I1439" s="38"/>
      <c r="J1439" s="39"/>
      <c r="K1439" s="39"/>
      <c r="L1439" s="39"/>
      <c r="M1439" s="39"/>
      <c r="N1439" s="40"/>
      <c r="O1439" s="40"/>
    </row>
    <row r="1440" spans="1:15">
      <c r="A1440" s="28" t="s">
        <v>1755</v>
      </c>
      <c r="B1440" s="37">
        <v>0.001</v>
      </c>
      <c r="C1440" s="37">
        <v>0</v>
      </c>
      <c r="D1440" s="37">
        <v>0.149</v>
      </c>
      <c r="E1440" s="37">
        <v>0</v>
      </c>
      <c r="F1440">
        <v>0.0128</v>
      </c>
      <c r="G1440">
        <v>0.6736</v>
      </c>
      <c r="I1440" s="38"/>
      <c r="J1440" s="39"/>
      <c r="K1440" s="39"/>
      <c r="L1440" s="39"/>
      <c r="M1440" s="39"/>
      <c r="N1440" s="40"/>
      <c r="O1440" s="40"/>
    </row>
    <row r="1441" spans="1:15">
      <c r="A1441" s="28" t="s">
        <v>1756</v>
      </c>
      <c r="B1441" s="37">
        <v>0.001</v>
      </c>
      <c r="C1441" s="37">
        <v>0</v>
      </c>
      <c r="D1441" s="37">
        <v>0.131</v>
      </c>
      <c r="E1441" s="37">
        <v>0</v>
      </c>
      <c r="F1441">
        <v>0.0124</v>
      </c>
      <c r="G1441">
        <v>0.6712</v>
      </c>
      <c r="I1441" s="38"/>
      <c r="J1441" s="39"/>
      <c r="K1441" s="39"/>
      <c r="L1441" s="39"/>
      <c r="M1441" s="39"/>
      <c r="N1441" s="40"/>
      <c r="O1441" s="40"/>
    </row>
    <row r="1442" spans="1:15">
      <c r="A1442" s="28" t="s">
        <v>1757</v>
      </c>
      <c r="B1442" s="37">
        <v>0.001</v>
      </c>
      <c r="C1442" s="37">
        <v>0</v>
      </c>
      <c r="D1442" s="37">
        <v>0.119</v>
      </c>
      <c r="E1442" s="37">
        <v>0</v>
      </c>
      <c r="F1442">
        <v>0.012</v>
      </c>
      <c r="G1442">
        <v>0.6732</v>
      </c>
      <c r="I1442" s="38"/>
      <c r="J1442" s="39"/>
      <c r="K1442" s="39"/>
      <c r="L1442" s="39"/>
      <c r="M1442" s="39"/>
      <c r="N1442" s="40"/>
      <c r="O1442" s="40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"/>
  <sheetViews>
    <sheetView tabSelected="1" zoomScale="70" zoomScaleNormal="70" workbookViewId="0">
      <selection activeCell="A24" sqref="A24"/>
    </sheetView>
  </sheetViews>
  <sheetFormatPr defaultColWidth="9" defaultRowHeight="14"/>
  <cols>
    <col min="1" max="1" width="21.25" style="30" customWidth="1"/>
    <col min="2" max="2" width="9" style="30" customWidth="1"/>
    <col min="3" max="3" width="26.125" style="30" customWidth="1"/>
    <col min="4" max="4" width="11.625" style="30" customWidth="1"/>
    <col min="5" max="5" width="9" style="30" customWidth="1"/>
    <col min="6" max="6" width="12.25" style="30" customWidth="1"/>
    <col min="7" max="7" width="8.75" style="31" customWidth="1"/>
    <col min="8" max="8" width="12.25" style="30" customWidth="1"/>
    <col min="9" max="10" width="9" style="30" customWidth="1"/>
    <col min="11" max="11" width="13.25" style="30" customWidth="1"/>
    <col min="12" max="12" width="13.375" style="30" customWidth="1"/>
    <col min="13" max="13" width="11.25" style="30" customWidth="1"/>
    <col min="14" max="14" width="11.7833333333333" style="30" customWidth="1"/>
    <col min="15" max="15" width="12.9666666666667" style="30" customWidth="1"/>
    <col min="16" max="16" width="9" style="32"/>
    <col min="17" max="16384" width="9" style="30"/>
  </cols>
  <sheetData>
    <row r="1" spans="1:16">
      <c r="A1" t="s">
        <v>1758</v>
      </c>
      <c r="B1" t="s">
        <v>1759</v>
      </c>
      <c r="C1" t="s">
        <v>0</v>
      </c>
      <c r="D1" t="s">
        <v>1</v>
      </c>
      <c r="E1" t="s">
        <v>1760</v>
      </c>
      <c r="F1" t="s">
        <v>1761</v>
      </c>
      <c r="G1" t="s">
        <v>1762</v>
      </c>
      <c r="H1" t="s">
        <v>1763</v>
      </c>
      <c r="I1" t="s">
        <v>1764</v>
      </c>
      <c r="J1" t="s">
        <v>28</v>
      </c>
      <c r="K1" t="s">
        <v>1765</v>
      </c>
      <c r="L1" t="s">
        <v>3</v>
      </c>
      <c r="M1" t="s">
        <v>2</v>
      </c>
      <c r="N1" t="s">
        <v>1766</v>
      </c>
      <c r="O1" t="s">
        <v>1767</v>
      </c>
      <c r="P1" s="32" t="s">
        <v>1768</v>
      </c>
    </row>
    <row r="2" spans="1:15">
      <c r="A2" s="33" t="s">
        <v>1769</v>
      </c>
      <c r="B2" s="33"/>
      <c r="C2" s="33" t="s">
        <v>23</v>
      </c>
      <c r="D2" s="33" t="s">
        <v>317</v>
      </c>
      <c r="E2" s="33" t="s">
        <v>1770</v>
      </c>
      <c r="F2" s="33" t="s">
        <v>1771</v>
      </c>
      <c r="G2" s="33" t="s">
        <v>1772</v>
      </c>
      <c r="H2" s="33" t="s">
        <v>1773</v>
      </c>
      <c r="I2" s="33" t="s">
        <v>1774</v>
      </c>
      <c r="J2" s="33" t="s">
        <v>1775</v>
      </c>
      <c r="K2" s="33" t="s">
        <v>1776</v>
      </c>
      <c r="L2" s="33" t="s">
        <v>208</v>
      </c>
      <c r="M2" s="33" t="s">
        <v>208</v>
      </c>
      <c r="N2" s="33" t="s">
        <v>208</v>
      </c>
      <c r="O2" s="33" t="s">
        <v>208</v>
      </c>
    </row>
    <row r="3" spans="1:15">
      <c r="A3" s="33" t="s">
        <v>1777</v>
      </c>
      <c r="B3" s="33"/>
      <c r="C3" s="33" t="s">
        <v>23</v>
      </c>
      <c r="D3" s="33" t="s">
        <v>317</v>
      </c>
      <c r="E3" s="33" t="s">
        <v>1770</v>
      </c>
      <c r="F3" s="33" t="s">
        <v>1778</v>
      </c>
      <c r="G3" s="33" t="s">
        <v>1779</v>
      </c>
      <c r="H3" s="33" t="s">
        <v>1780</v>
      </c>
      <c r="I3" s="33" t="s">
        <v>1774</v>
      </c>
      <c r="J3" s="33" t="s">
        <v>1781</v>
      </c>
      <c r="K3" s="33" t="s">
        <v>1782</v>
      </c>
      <c r="L3" s="33" t="s">
        <v>1783</v>
      </c>
      <c r="M3" s="33" t="s">
        <v>300</v>
      </c>
      <c r="N3" s="33" t="s">
        <v>208</v>
      </c>
      <c r="O3" s="33" t="s">
        <v>208</v>
      </c>
    </row>
    <row r="4" spans="1:15">
      <c r="A4" s="33" t="s">
        <v>1784</v>
      </c>
      <c r="B4" s="33"/>
      <c r="C4" s="33" t="s">
        <v>23</v>
      </c>
      <c r="D4" s="33" t="s">
        <v>317</v>
      </c>
      <c r="E4" s="33" t="s">
        <v>1770</v>
      </c>
      <c r="F4" s="33" t="s">
        <v>1785</v>
      </c>
      <c r="G4" s="33" t="s">
        <v>1786</v>
      </c>
      <c r="H4" s="33" t="s">
        <v>1787</v>
      </c>
      <c r="I4" s="33" t="s">
        <v>1774</v>
      </c>
      <c r="J4" s="33" t="s">
        <v>1788</v>
      </c>
      <c r="K4" s="33" t="s">
        <v>1789</v>
      </c>
      <c r="L4" s="33" t="s">
        <v>1790</v>
      </c>
      <c r="M4" s="33" t="s">
        <v>300</v>
      </c>
      <c r="N4" s="33" t="s">
        <v>292</v>
      </c>
      <c r="O4" s="33" t="s">
        <v>1791</v>
      </c>
    </row>
    <row r="5" spans="1:15">
      <c r="A5" s="33" t="s">
        <v>1792</v>
      </c>
      <c r="B5" s="33"/>
      <c r="C5" s="33" t="s">
        <v>23</v>
      </c>
      <c r="D5" s="33" t="s">
        <v>317</v>
      </c>
      <c r="E5" s="33" t="s">
        <v>1770</v>
      </c>
      <c r="F5" s="33" t="s">
        <v>1793</v>
      </c>
      <c r="G5" s="33" t="s">
        <v>1794</v>
      </c>
      <c r="H5" s="33" t="s">
        <v>1795</v>
      </c>
      <c r="I5" s="33" t="s">
        <v>1774</v>
      </c>
      <c r="J5" s="33" t="s">
        <v>1788</v>
      </c>
      <c r="K5" s="33" t="s">
        <v>1789</v>
      </c>
      <c r="L5" s="33" t="s">
        <v>1796</v>
      </c>
      <c r="M5" s="33" t="s">
        <v>286</v>
      </c>
      <c r="N5" s="33" t="s">
        <v>1797</v>
      </c>
      <c r="O5" s="33" t="s">
        <v>1798</v>
      </c>
    </row>
    <row r="6" spans="1:15">
      <c r="A6" s="33" t="s">
        <v>1799</v>
      </c>
      <c r="B6" s="33"/>
      <c r="C6" s="33" t="s">
        <v>23</v>
      </c>
      <c r="D6" s="33" t="s">
        <v>317</v>
      </c>
      <c r="E6" s="33" t="s">
        <v>1770</v>
      </c>
      <c r="F6" s="33" t="s">
        <v>1800</v>
      </c>
      <c r="G6" s="33" t="s">
        <v>1801</v>
      </c>
      <c r="H6" s="33" t="s">
        <v>1802</v>
      </c>
      <c r="I6" s="33" t="s">
        <v>1774</v>
      </c>
      <c r="J6" s="33" t="s">
        <v>1788</v>
      </c>
      <c r="K6" s="33" t="s">
        <v>1789</v>
      </c>
      <c r="L6" s="33" t="s">
        <v>1803</v>
      </c>
      <c r="M6" s="33" t="s">
        <v>1804</v>
      </c>
      <c r="N6" s="33" t="s">
        <v>300</v>
      </c>
      <c r="O6" s="33" t="s">
        <v>247</v>
      </c>
    </row>
    <row r="7" spans="1:15">
      <c r="A7" s="33" t="s">
        <v>1805</v>
      </c>
      <c r="B7" s="33"/>
      <c r="C7" s="33" t="s">
        <v>23</v>
      </c>
      <c r="D7" s="33" t="s">
        <v>317</v>
      </c>
      <c r="E7" s="33" t="s">
        <v>1770</v>
      </c>
      <c r="F7" s="33" t="s">
        <v>1806</v>
      </c>
      <c r="G7" s="33" t="s">
        <v>1807</v>
      </c>
      <c r="H7" s="33" t="s">
        <v>1808</v>
      </c>
      <c r="I7" s="33" t="s">
        <v>1774</v>
      </c>
      <c r="J7" s="33" t="s">
        <v>1788</v>
      </c>
      <c r="K7" s="33" t="s">
        <v>1789</v>
      </c>
      <c r="L7" s="33" t="s">
        <v>1809</v>
      </c>
      <c r="M7" s="33" t="s">
        <v>299</v>
      </c>
      <c r="N7" s="33" t="s">
        <v>1804</v>
      </c>
      <c r="O7" s="33" t="s">
        <v>1810</v>
      </c>
    </row>
    <row r="8" spans="1:15">
      <c r="A8" s="33" t="s">
        <v>1811</v>
      </c>
      <c r="B8" s="33"/>
      <c r="C8" s="33" t="s">
        <v>23</v>
      </c>
      <c r="D8" s="33" t="s">
        <v>317</v>
      </c>
      <c r="E8" s="33" t="s">
        <v>1770</v>
      </c>
      <c r="F8" s="33" t="s">
        <v>1812</v>
      </c>
      <c r="G8" s="33" t="s">
        <v>1813</v>
      </c>
      <c r="H8" s="33" t="s">
        <v>1814</v>
      </c>
      <c r="I8" s="33" t="s">
        <v>1774</v>
      </c>
      <c r="J8" s="33" t="s">
        <v>1788</v>
      </c>
      <c r="K8" s="33" t="s">
        <v>1815</v>
      </c>
      <c r="L8" s="33" t="s">
        <v>1816</v>
      </c>
      <c r="M8" s="33" t="s">
        <v>275</v>
      </c>
      <c r="N8" s="33" t="s">
        <v>289</v>
      </c>
      <c r="O8" s="33" t="s">
        <v>1817</v>
      </c>
    </row>
    <row r="9" spans="1:15">
      <c r="A9" s="33" t="s">
        <v>1818</v>
      </c>
      <c r="B9" s="33"/>
      <c r="C9" s="33" t="s">
        <v>23</v>
      </c>
      <c r="D9" s="33" t="s">
        <v>317</v>
      </c>
      <c r="E9" s="33" t="s">
        <v>1770</v>
      </c>
      <c r="F9" s="33" t="s">
        <v>1819</v>
      </c>
      <c r="G9" s="33" t="s">
        <v>1820</v>
      </c>
      <c r="H9" s="33" t="s">
        <v>1821</v>
      </c>
      <c r="I9" s="33" t="s">
        <v>1774</v>
      </c>
      <c r="J9" s="33" t="s">
        <v>1788</v>
      </c>
      <c r="K9" s="33" t="s">
        <v>1789</v>
      </c>
      <c r="L9" s="33" t="s">
        <v>1822</v>
      </c>
      <c r="M9" s="33" t="s">
        <v>228</v>
      </c>
      <c r="N9" s="33" t="s">
        <v>1823</v>
      </c>
      <c r="O9" s="33" t="s">
        <v>1824</v>
      </c>
    </row>
    <row r="10" spans="1:15">
      <c r="A10" s="33" t="s">
        <v>1825</v>
      </c>
      <c r="B10" s="33" t="s">
        <v>1826</v>
      </c>
      <c r="C10" s="33" t="s">
        <v>23</v>
      </c>
      <c r="D10" s="33" t="s">
        <v>317</v>
      </c>
      <c r="E10" s="33" t="s">
        <v>1770</v>
      </c>
      <c r="F10" s="33" t="s">
        <v>1827</v>
      </c>
      <c r="G10" s="33" t="s">
        <v>1828</v>
      </c>
      <c r="H10" s="33" t="s">
        <v>1829</v>
      </c>
      <c r="I10" s="33" t="s">
        <v>1774</v>
      </c>
      <c r="J10" s="33" t="s">
        <v>29</v>
      </c>
      <c r="K10" s="33" t="s">
        <v>1830</v>
      </c>
      <c r="L10" s="33" t="s">
        <v>1831</v>
      </c>
      <c r="M10" s="33" t="s">
        <v>1832</v>
      </c>
      <c r="N10" s="33" t="s">
        <v>138</v>
      </c>
      <c r="O10" s="33" t="s">
        <v>1833</v>
      </c>
    </row>
    <row r="11" spans="1:15">
      <c r="A11" s="33" t="s">
        <v>1825</v>
      </c>
      <c r="B11" s="33" t="s">
        <v>1834</v>
      </c>
      <c r="C11" s="33" t="s">
        <v>23</v>
      </c>
      <c r="D11" s="33" t="s">
        <v>317</v>
      </c>
      <c r="E11" s="33" t="s">
        <v>1770</v>
      </c>
      <c r="F11" s="33" t="s">
        <v>1835</v>
      </c>
      <c r="G11" s="33" t="s">
        <v>1828</v>
      </c>
      <c r="H11" s="33" t="s">
        <v>1836</v>
      </c>
      <c r="I11" s="33" t="s">
        <v>1774</v>
      </c>
      <c r="J11" s="33" t="s">
        <v>29</v>
      </c>
      <c r="K11" s="33" t="s">
        <v>1830</v>
      </c>
      <c r="L11" s="33" t="s">
        <v>128</v>
      </c>
      <c r="M11" s="33" t="s">
        <v>1837</v>
      </c>
      <c r="N11" s="33" t="s">
        <v>259</v>
      </c>
      <c r="O11" s="33" t="s">
        <v>1838</v>
      </c>
    </row>
    <row r="12" spans="1:15">
      <c r="A12" s="33" t="s">
        <v>1799</v>
      </c>
      <c r="B12" s="33"/>
      <c r="C12" s="33" t="s">
        <v>23</v>
      </c>
      <c r="D12" s="33" t="s">
        <v>317</v>
      </c>
      <c r="E12" s="33" t="s">
        <v>1770</v>
      </c>
      <c r="F12" s="33" t="s">
        <v>1839</v>
      </c>
      <c r="G12" s="33" t="s">
        <v>1840</v>
      </c>
      <c r="H12" s="33" t="s">
        <v>1841</v>
      </c>
      <c r="I12" s="33" t="s">
        <v>1774</v>
      </c>
      <c r="J12" s="33" t="s">
        <v>1788</v>
      </c>
      <c r="K12" s="33" t="s">
        <v>1789</v>
      </c>
      <c r="L12" s="33" t="s">
        <v>1842</v>
      </c>
      <c r="M12" s="33" t="s">
        <v>245</v>
      </c>
      <c r="N12" s="33" t="s">
        <v>266</v>
      </c>
      <c r="O12" s="33" t="s">
        <v>1843</v>
      </c>
    </row>
    <row r="13" spans="1:16">
      <c r="A13" s="33" t="s">
        <v>1784</v>
      </c>
      <c r="B13" s="33"/>
      <c r="C13" s="33" t="s">
        <v>23</v>
      </c>
      <c r="D13" s="33" t="s">
        <v>317</v>
      </c>
      <c r="E13" s="33" t="s">
        <v>1770</v>
      </c>
      <c r="F13" s="33" t="s">
        <v>1844</v>
      </c>
      <c r="G13" s="33" t="s">
        <v>1845</v>
      </c>
      <c r="H13" s="33" t="s">
        <v>1846</v>
      </c>
      <c r="I13" s="33" t="s">
        <v>1774</v>
      </c>
      <c r="J13" s="33" t="s">
        <v>1788</v>
      </c>
      <c r="K13" s="33" t="s">
        <v>1789</v>
      </c>
      <c r="L13" s="33" t="s">
        <v>1847</v>
      </c>
      <c r="M13" s="33" t="s">
        <v>142</v>
      </c>
      <c r="N13" s="33" t="s">
        <v>1848</v>
      </c>
      <c r="O13" s="33" t="s">
        <v>1849</v>
      </c>
      <c r="P13" s="32" t="s">
        <v>1850</v>
      </c>
    </row>
    <row r="14" spans="1:15">
      <c r="A14" s="33" t="s">
        <v>1777</v>
      </c>
      <c r="B14" s="33"/>
      <c r="C14" s="33" t="s">
        <v>23</v>
      </c>
      <c r="D14" s="33" t="s">
        <v>317</v>
      </c>
      <c r="E14" s="33" t="s">
        <v>1770</v>
      </c>
      <c r="F14" s="33" t="s">
        <v>1851</v>
      </c>
      <c r="G14" s="33" t="s">
        <v>1852</v>
      </c>
      <c r="H14" s="33" t="s">
        <v>1853</v>
      </c>
      <c r="I14" s="33" t="s">
        <v>1774</v>
      </c>
      <c r="J14" s="33" t="s">
        <v>1781</v>
      </c>
      <c r="K14" s="33" t="s">
        <v>1782</v>
      </c>
      <c r="L14" s="33" t="s">
        <v>1854</v>
      </c>
      <c r="M14" s="33" t="s">
        <v>266</v>
      </c>
      <c r="N14" s="33" t="s">
        <v>285</v>
      </c>
      <c r="O14" s="33" t="s">
        <v>137</v>
      </c>
    </row>
    <row r="15" spans="1:15">
      <c r="A15" s="33" t="s">
        <v>1855</v>
      </c>
      <c r="B15" s="33" t="s">
        <v>1772</v>
      </c>
      <c r="C15" s="33" t="s">
        <v>23</v>
      </c>
      <c r="D15" s="33" t="s">
        <v>317</v>
      </c>
      <c r="E15" s="33" t="s">
        <v>1770</v>
      </c>
      <c r="F15" s="33" t="s">
        <v>1856</v>
      </c>
      <c r="G15" s="33" t="s">
        <v>1828</v>
      </c>
      <c r="H15" s="33" t="s">
        <v>1857</v>
      </c>
      <c r="I15" s="33" t="s">
        <v>1774</v>
      </c>
      <c r="J15" s="33" t="s">
        <v>29</v>
      </c>
      <c r="K15" s="33" t="s">
        <v>1830</v>
      </c>
      <c r="L15" s="33" t="s">
        <v>1858</v>
      </c>
      <c r="M15" s="33" t="s">
        <v>1859</v>
      </c>
      <c r="N15" s="33" t="s">
        <v>1860</v>
      </c>
      <c r="O15" s="33" t="s">
        <v>1861</v>
      </c>
    </row>
    <row r="16" spans="1:15">
      <c r="A16" s="33" t="s">
        <v>1855</v>
      </c>
      <c r="B16" s="33" t="s">
        <v>1862</v>
      </c>
      <c r="C16" s="33" t="s">
        <v>23</v>
      </c>
      <c r="D16" s="33" t="s">
        <v>317</v>
      </c>
      <c r="E16" s="33" t="s">
        <v>1770</v>
      </c>
      <c r="F16" s="33" t="s">
        <v>1863</v>
      </c>
      <c r="G16" s="33" t="s">
        <v>1828</v>
      </c>
      <c r="H16" s="33" t="s">
        <v>1864</v>
      </c>
      <c r="I16" s="33" t="s">
        <v>1774</v>
      </c>
      <c r="J16" s="33" t="s">
        <v>29</v>
      </c>
      <c r="K16" s="33" t="s">
        <v>1830</v>
      </c>
      <c r="L16" s="33" t="s">
        <v>1865</v>
      </c>
      <c r="M16" s="33" t="s">
        <v>1866</v>
      </c>
      <c r="N16" s="33" t="s">
        <v>1867</v>
      </c>
      <c r="O16" s="33" t="s">
        <v>1868</v>
      </c>
    </row>
    <row r="17" spans="1:15">
      <c r="A17" s="33" t="s">
        <v>1855</v>
      </c>
      <c r="B17" s="33" t="s">
        <v>1779</v>
      </c>
      <c r="C17" s="33" t="s">
        <v>23</v>
      </c>
      <c r="D17" s="33" t="s">
        <v>317</v>
      </c>
      <c r="E17" s="33" t="s">
        <v>1770</v>
      </c>
      <c r="F17" s="33" t="s">
        <v>1869</v>
      </c>
      <c r="G17" s="33" t="s">
        <v>1828</v>
      </c>
      <c r="H17" s="33" t="s">
        <v>1870</v>
      </c>
      <c r="I17" s="33" t="s">
        <v>1774</v>
      </c>
      <c r="J17" s="33" t="s">
        <v>29</v>
      </c>
      <c r="K17" s="33" t="s">
        <v>1830</v>
      </c>
      <c r="L17" s="33" t="s">
        <v>1871</v>
      </c>
      <c r="M17" s="33" t="s">
        <v>214</v>
      </c>
      <c r="N17" s="33" t="s">
        <v>1872</v>
      </c>
      <c r="O17" s="33" t="s">
        <v>1873</v>
      </c>
    </row>
    <row r="18" spans="1:15">
      <c r="A18" s="33" t="s">
        <v>1855</v>
      </c>
      <c r="B18" s="33" t="s">
        <v>1874</v>
      </c>
      <c r="C18" s="33" t="s">
        <v>23</v>
      </c>
      <c r="D18" s="33" t="s">
        <v>317</v>
      </c>
      <c r="E18" s="33" t="s">
        <v>1770</v>
      </c>
      <c r="F18" s="33" t="s">
        <v>1875</v>
      </c>
      <c r="G18" s="33" t="s">
        <v>1828</v>
      </c>
      <c r="H18" s="33" t="s">
        <v>1876</v>
      </c>
      <c r="I18" s="33" t="s">
        <v>1774</v>
      </c>
      <c r="J18" s="33" t="s">
        <v>29</v>
      </c>
      <c r="K18" s="33" t="s">
        <v>1830</v>
      </c>
      <c r="L18" s="33" t="s">
        <v>1877</v>
      </c>
      <c r="M18" s="33" t="s">
        <v>266</v>
      </c>
      <c r="N18" s="33" t="s">
        <v>1878</v>
      </c>
      <c r="O18" s="33" t="s">
        <v>1879</v>
      </c>
    </row>
    <row r="19" spans="1:16">
      <c r="A19" s="33" t="s">
        <v>1880</v>
      </c>
      <c r="B19" s="33"/>
      <c r="C19" s="33" t="s">
        <v>23</v>
      </c>
      <c r="D19" s="33" t="s">
        <v>317</v>
      </c>
      <c r="E19" s="33" t="s">
        <v>1770</v>
      </c>
      <c r="F19" s="33" t="s">
        <v>1881</v>
      </c>
      <c r="G19" s="33" t="s">
        <v>1882</v>
      </c>
      <c r="H19" s="33" t="s">
        <v>1883</v>
      </c>
      <c r="I19" s="33" t="s">
        <v>1774</v>
      </c>
      <c r="J19" s="33" t="s">
        <v>1788</v>
      </c>
      <c r="K19" s="33" t="s">
        <v>1789</v>
      </c>
      <c r="L19" s="33" t="s">
        <v>1884</v>
      </c>
      <c r="M19" s="33" t="s">
        <v>276</v>
      </c>
      <c r="N19" s="33" t="s">
        <v>1885</v>
      </c>
      <c r="O19" s="33" t="s">
        <v>1886</v>
      </c>
      <c r="P19" s="32" t="s">
        <v>1850</v>
      </c>
    </row>
    <row r="20" spans="1:16">
      <c r="A20" s="33" t="s">
        <v>1799</v>
      </c>
      <c r="B20" s="33"/>
      <c r="C20" s="33" t="s">
        <v>23</v>
      </c>
      <c r="D20" s="33" t="s">
        <v>317</v>
      </c>
      <c r="E20" s="33" t="s">
        <v>1770</v>
      </c>
      <c r="F20" s="33" t="s">
        <v>1887</v>
      </c>
      <c r="G20" s="33" t="s">
        <v>1888</v>
      </c>
      <c r="H20" s="33" t="s">
        <v>1889</v>
      </c>
      <c r="I20" s="33" t="s">
        <v>1774</v>
      </c>
      <c r="J20" s="33" t="s">
        <v>1788</v>
      </c>
      <c r="K20" s="33" t="s">
        <v>1789</v>
      </c>
      <c r="L20" s="33" t="s">
        <v>1890</v>
      </c>
      <c r="M20" s="33" t="s">
        <v>260</v>
      </c>
      <c r="N20" s="33" t="s">
        <v>1891</v>
      </c>
      <c r="O20" s="33" t="s">
        <v>1892</v>
      </c>
      <c r="P20" s="32" t="s">
        <v>1850</v>
      </c>
    </row>
    <row r="21" spans="1:15">
      <c r="A21" s="33" t="s">
        <v>1825</v>
      </c>
      <c r="B21" s="33" t="s">
        <v>1893</v>
      </c>
      <c r="C21" s="33" t="s">
        <v>23</v>
      </c>
      <c r="D21" s="33" t="s">
        <v>317</v>
      </c>
      <c r="E21" s="33" t="s">
        <v>1770</v>
      </c>
      <c r="F21" s="33" t="s">
        <v>1894</v>
      </c>
      <c r="G21" s="33" t="s">
        <v>1828</v>
      </c>
      <c r="H21" s="33" t="s">
        <v>1895</v>
      </c>
      <c r="I21" s="33" t="s">
        <v>1774</v>
      </c>
      <c r="J21" s="33" t="s">
        <v>29</v>
      </c>
      <c r="K21" s="33" t="s">
        <v>1830</v>
      </c>
      <c r="L21" s="33" t="s">
        <v>1896</v>
      </c>
      <c r="M21" s="33" t="s">
        <v>1897</v>
      </c>
      <c r="N21" s="33" t="s">
        <v>1898</v>
      </c>
      <c r="O21" s="33" t="s">
        <v>1899</v>
      </c>
    </row>
    <row r="22" spans="1:15">
      <c r="A22" s="33" t="s">
        <v>1825</v>
      </c>
      <c r="B22" s="33" t="s">
        <v>1900</v>
      </c>
      <c r="C22" s="33" t="s">
        <v>23</v>
      </c>
      <c r="D22" s="33" t="s">
        <v>317</v>
      </c>
      <c r="E22" s="33" t="s">
        <v>1770</v>
      </c>
      <c r="F22" s="33" t="s">
        <v>1901</v>
      </c>
      <c r="G22" s="33" t="s">
        <v>1828</v>
      </c>
      <c r="H22" s="33" t="s">
        <v>1902</v>
      </c>
      <c r="I22" s="33" t="s">
        <v>1774</v>
      </c>
      <c r="J22" s="33" t="s">
        <v>29</v>
      </c>
      <c r="K22" s="33" t="s">
        <v>1830</v>
      </c>
      <c r="L22" s="33" t="s">
        <v>1903</v>
      </c>
      <c r="M22" s="33" t="s">
        <v>1904</v>
      </c>
      <c r="N22" s="33" t="s">
        <v>1905</v>
      </c>
      <c r="O22" s="33" t="s">
        <v>1906</v>
      </c>
    </row>
    <row r="23" spans="1:15">
      <c r="A23" s="33" t="s">
        <v>1907</v>
      </c>
      <c r="B23" s="33"/>
      <c r="C23" s="33" t="s">
        <v>23</v>
      </c>
      <c r="D23" s="33" t="s">
        <v>317</v>
      </c>
      <c r="E23" s="33" t="s">
        <v>1770</v>
      </c>
      <c r="F23" s="33" t="s">
        <v>1908</v>
      </c>
      <c r="G23" s="33" t="s">
        <v>1909</v>
      </c>
      <c r="H23" s="33" t="s">
        <v>1910</v>
      </c>
      <c r="I23" s="33" t="s">
        <v>1774</v>
      </c>
      <c r="J23" s="33" t="s">
        <v>1781</v>
      </c>
      <c r="K23" s="33" t="s">
        <v>1782</v>
      </c>
      <c r="L23" s="33" t="s">
        <v>1911</v>
      </c>
      <c r="M23" s="33" t="s">
        <v>236</v>
      </c>
      <c r="N23" s="33" t="s">
        <v>1859</v>
      </c>
      <c r="O23" s="33" t="s">
        <v>1912</v>
      </c>
    </row>
    <row r="24" spans="1:16">
      <c r="A24" s="33" t="s">
        <v>1792</v>
      </c>
      <c r="B24" s="33"/>
      <c r="C24" s="33" t="s">
        <v>23</v>
      </c>
      <c r="D24" s="33" t="s">
        <v>317</v>
      </c>
      <c r="E24" s="33" t="s">
        <v>1770</v>
      </c>
      <c r="F24" s="33" t="s">
        <v>1913</v>
      </c>
      <c r="G24" s="33" t="s">
        <v>1914</v>
      </c>
      <c r="H24" s="33" t="s">
        <v>1915</v>
      </c>
      <c r="I24" s="33" t="s">
        <v>1774</v>
      </c>
      <c r="J24" s="33" t="s">
        <v>1788</v>
      </c>
      <c r="K24" s="33" t="s">
        <v>1789</v>
      </c>
      <c r="L24" s="33" t="s">
        <v>1916</v>
      </c>
      <c r="M24" s="33" t="s">
        <v>142</v>
      </c>
      <c r="N24" s="33" t="s">
        <v>1917</v>
      </c>
      <c r="O24" s="33" t="s">
        <v>1918</v>
      </c>
      <c r="P24" s="32" t="s">
        <v>1850</v>
      </c>
    </row>
    <row r="25" spans="1:16">
      <c r="A25" s="33" t="s">
        <v>1919</v>
      </c>
      <c r="B25" s="33"/>
      <c r="C25" s="33" t="s">
        <v>23</v>
      </c>
      <c r="D25" s="33" t="s">
        <v>317</v>
      </c>
      <c r="E25" s="33" t="s">
        <v>1770</v>
      </c>
      <c r="F25" s="33" t="s">
        <v>1920</v>
      </c>
      <c r="G25" s="33" t="s">
        <v>1921</v>
      </c>
      <c r="H25" s="33" t="s">
        <v>1922</v>
      </c>
      <c r="I25" s="33" t="s">
        <v>1774</v>
      </c>
      <c r="J25" s="33" t="s">
        <v>1781</v>
      </c>
      <c r="K25" s="33" t="s">
        <v>1782</v>
      </c>
      <c r="L25" s="33" t="s">
        <v>1923</v>
      </c>
      <c r="M25" s="33" t="s">
        <v>1924</v>
      </c>
      <c r="N25" s="33" t="s">
        <v>1797</v>
      </c>
      <c r="O25" s="33" t="s">
        <v>1925</v>
      </c>
      <c r="P25" s="32" t="s">
        <v>1850</v>
      </c>
    </row>
    <row r="26" spans="1:15">
      <c r="A26" s="33" t="s">
        <v>1926</v>
      </c>
      <c r="B26" s="33" t="s">
        <v>1927</v>
      </c>
      <c r="C26" s="33" t="s">
        <v>23</v>
      </c>
      <c r="D26" s="33" t="s">
        <v>317</v>
      </c>
      <c r="E26" s="33" t="s">
        <v>1770</v>
      </c>
      <c r="F26" s="33" t="s">
        <v>1928</v>
      </c>
      <c r="G26" s="33" t="s">
        <v>1840</v>
      </c>
      <c r="H26" s="33" t="s">
        <v>1929</v>
      </c>
      <c r="I26" s="33" t="s">
        <v>1774</v>
      </c>
      <c r="J26" s="33" t="s">
        <v>1788</v>
      </c>
      <c r="K26" s="33" t="s">
        <v>1815</v>
      </c>
      <c r="L26" s="33" t="s">
        <v>1930</v>
      </c>
      <c r="M26" s="33" t="s">
        <v>1931</v>
      </c>
      <c r="N26" s="33" t="s">
        <v>300</v>
      </c>
      <c r="O26" s="33" t="s">
        <v>149</v>
      </c>
    </row>
    <row r="27" spans="1:15">
      <c r="A27" s="33" t="s">
        <v>1932</v>
      </c>
      <c r="B27" s="33" t="s">
        <v>1933</v>
      </c>
      <c r="C27" s="33" t="s">
        <v>23</v>
      </c>
      <c r="D27" s="33" t="s">
        <v>317</v>
      </c>
      <c r="E27" s="33" t="s">
        <v>1770</v>
      </c>
      <c r="F27" s="33" t="s">
        <v>1934</v>
      </c>
      <c r="G27" s="33" t="s">
        <v>1935</v>
      </c>
      <c r="H27" s="33" t="s">
        <v>1936</v>
      </c>
      <c r="I27" s="33" t="s">
        <v>1774</v>
      </c>
      <c r="J27" s="33" t="s">
        <v>29</v>
      </c>
      <c r="K27" s="33" t="s">
        <v>1937</v>
      </c>
      <c r="L27" s="33" t="s">
        <v>1938</v>
      </c>
      <c r="M27" s="33" t="s">
        <v>1797</v>
      </c>
      <c r="N27" s="33" t="s">
        <v>1797</v>
      </c>
      <c r="O27" s="33" t="s">
        <v>185</v>
      </c>
    </row>
    <row r="28" spans="1:15">
      <c r="A28" s="33" t="s">
        <v>1932</v>
      </c>
      <c r="B28" s="33" t="s">
        <v>1921</v>
      </c>
      <c r="C28" s="33" t="s">
        <v>23</v>
      </c>
      <c r="D28" s="33" t="s">
        <v>317</v>
      </c>
      <c r="E28" s="33" t="s">
        <v>1770</v>
      </c>
      <c r="F28" s="33" t="s">
        <v>1936</v>
      </c>
      <c r="G28" s="33" t="s">
        <v>1935</v>
      </c>
      <c r="H28" s="33" t="s">
        <v>1939</v>
      </c>
      <c r="I28" s="33" t="s">
        <v>1774</v>
      </c>
      <c r="J28" s="33" t="s">
        <v>29</v>
      </c>
      <c r="K28" s="33" t="s">
        <v>1937</v>
      </c>
      <c r="L28" s="33" t="s">
        <v>1940</v>
      </c>
      <c r="M28" s="33" t="s">
        <v>208</v>
      </c>
      <c r="N28" s="33" t="s">
        <v>299</v>
      </c>
      <c r="O28" s="33" t="s">
        <v>171</v>
      </c>
    </row>
    <row r="29" spans="1:15">
      <c r="A29" s="33" t="s">
        <v>1932</v>
      </c>
      <c r="B29" s="33" t="s">
        <v>1794</v>
      </c>
      <c r="C29" s="33" t="s">
        <v>23</v>
      </c>
      <c r="D29" s="33" t="s">
        <v>317</v>
      </c>
      <c r="E29" s="33" t="s">
        <v>1770</v>
      </c>
      <c r="F29" s="33" t="s">
        <v>1939</v>
      </c>
      <c r="G29" s="33" t="s">
        <v>1935</v>
      </c>
      <c r="H29" s="33" t="s">
        <v>1941</v>
      </c>
      <c r="I29" s="33" t="s">
        <v>1774</v>
      </c>
      <c r="J29" s="33" t="s">
        <v>29</v>
      </c>
      <c r="K29" s="33" t="s">
        <v>1937</v>
      </c>
      <c r="L29" s="33" t="s">
        <v>1804</v>
      </c>
      <c r="M29" s="33" t="s">
        <v>208</v>
      </c>
      <c r="N29" s="33" t="s">
        <v>208</v>
      </c>
      <c r="O29" s="33" t="s">
        <v>208</v>
      </c>
    </row>
    <row r="30" spans="1:1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1:15">
      <c r="A32" s="31"/>
      <c r="B32" s="31"/>
      <c r="C32" s="31"/>
      <c r="D32" s="31"/>
      <c r="E32" s="31"/>
      <c r="F32" s="31"/>
      <c r="H32" s="31"/>
      <c r="I32" s="31"/>
      <c r="J32" s="31"/>
      <c r="K32" s="31"/>
      <c r="L32" s="31"/>
      <c r="M32" s="31"/>
      <c r="N32" s="31"/>
      <c r="O32" s="31"/>
    </row>
    <row r="33" spans="1:15">
      <c r="A33" s="31"/>
      <c r="B33" s="31"/>
      <c r="C33" s="31"/>
      <c r="D33" s="31"/>
      <c r="E33" s="31"/>
      <c r="F33" s="31"/>
      <c r="H33" s="31"/>
      <c r="I33" s="31"/>
      <c r="J33" s="31"/>
      <c r="K33" s="31"/>
      <c r="L33" s="31"/>
      <c r="M33" s="31"/>
      <c r="N33" s="31"/>
      <c r="O33" s="31"/>
    </row>
    <row r="34" spans="4:8">
      <c r="D34" s="34"/>
      <c r="F34" s="35"/>
      <c r="H34" s="35"/>
    </row>
    <row r="35" spans="4:8">
      <c r="D35" s="34"/>
      <c r="F35" s="35"/>
      <c r="H35" s="35"/>
    </row>
    <row r="36" spans="4:8">
      <c r="D36" s="34"/>
      <c r="F36" s="35"/>
      <c r="H36" s="35"/>
    </row>
    <row r="37" spans="4:8">
      <c r="D37" s="34"/>
      <c r="F37" s="35"/>
      <c r="H37" s="35"/>
    </row>
    <row r="38" spans="4:8">
      <c r="D38" s="34"/>
      <c r="F38" s="35"/>
      <c r="H38" s="35"/>
    </row>
    <row r="39" spans="4:8">
      <c r="D39" s="34"/>
      <c r="F39" s="35"/>
      <c r="H39" s="35"/>
    </row>
    <row r="40" spans="4:8">
      <c r="D40" s="34"/>
      <c r="F40" s="35"/>
      <c r="H40" s="35"/>
    </row>
    <row r="41" spans="4:8">
      <c r="D41" s="34"/>
      <c r="F41" s="35"/>
      <c r="H41" s="36"/>
    </row>
    <row r="42" spans="4:8">
      <c r="D42" s="34"/>
      <c r="F42" s="36"/>
      <c r="H42" s="36"/>
    </row>
    <row r="43" spans="4:8">
      <c r="D43" s="34"/>
      <c r="F43" s="36"/>
      <c r="H43" s="36"/>
    </row>
    <row r="44" spans="4:8">
      <c r="D44" s="34"/>
      <c r="F44" s="36"/>
      <c r="H44" s="36"/>
    </row>
    <row r="45" spans="4:8">
      <c r="D45" s="34"/>
      <c r="F45" s="36"/>
      <c r="H45" s="36"/>
    </row>
    <row r="46" spans="4:8">
      <c r="D46" s="34"/>
      <c r="F46" s="36"/>
      <c r="H46" s="36"/>
    </row>
    <row r="47" spans="4:8">
      <c r="D47" s="34"/>
      <c r="F47" s="35"/>
      <c r="H47" s="35"/>
    </row>
    <row r="48" spans="4:8">
      <c r="D48" s="34"/>
      <c r="F48" s="35"/>
      <c r="H48" s="35"/>
    </row>
    <row r="49" spans="4:8">
      <c r="D49" s="34"/>
      <c r="F49" s="35"/>
      <c r="H49" s="35"/>
    </row>
    <row r="50" spans="4:8">
      <c r="D50" s="34"/>
      <c r="F50" s="35"/>
      <c r="H50" s="35"/>
    </row>
    <row r="51" spans="4:8">
      <c r="D51" s="34"/>
      <c r="F51" s="35"/>
      <c r="H51" s="35"/>
    </row>
    <row r="52" spans="4:8">
      <c r="D52" s="34"/>
      <c r="F52" s="35"/>
      <c r="H52" s="35"/>
    </row>
    <row r="53" spans="4:8">
      <c r="D53" s="34"/>
      <c r="F53" s="35"/>
      <c r="H53" s="35"/>
    </row>
    <row r="54" spans="4:8">
      <c r="D54" s="34"/>
      <c r="F54" s="35"/>
      <c r="H54" s="35"/>
    </row>
    <row r="55" spans="4:8">
      <c r="D55" s="34"/>
      <c r="F55" s="36"/>
      <c r="H55" s="36"/>
    </row>
    <row r="56" spans="4:8">
      <c r="D56" s="34"/>
      <c r="F56" s="36"/>
      <c r="H56" s="36"/>
    </row>
    <row r="57" spans="4:8">
      <c r="D57" s="34"/>
      <c r="F57" s="36"/>
      <c r="H57" s="36"/>
    </row>
    <row r="58" spans="4:8">
      <c r="D58" s="34"/>
      <c r="F58" s="36"/>
      <c r="H58" s="36"/>
    </row>
    <row r="59" spans="4:8">
      <c r="D59" s="34"/>
      <c r="F59" s="36"/>
      <c r="H59" s="36"/>
    </row>
    <row r="60" spans="4:8">
      <c r="D60" s="34"/>
      <c r="F60" s="35"/>
      <c r="H60" s="35"/>
    </row>
    <row r="61" spans="4:8">
      <c r="D61" s="34"/>
      <c r="F61" s="35"/>
      <c r="H61" s="35"/>
    </row>
    <row r="62" spans="4:8">
      <c r="D62" s="34"/>
      <c r="F62" s="35"/>
      <c r="H62" s="35"/>
    </row>
    <row r="63" spans="4:8">
      <c r="D63" s="34"/>
      <c r="F63" s="35"/>
      <c r="H63" s="35"/>
    </row>
    <row r="64" spans="4:8">
      <c r="D64" s="34"/>
      <c r="F64" s="35"/>
      <c r="H64" s="35"/>
    </row>
    <row r="65" spans="4:8">
      <c r="D65" s="34"/>
      <c r="F65" s="35"/>
      <c r="H65" s="35"/>
    </row>
    <row r="66" spans="4:8">
      <c r="D66" s="34"/>
      <c r="F66" s="35"/>
      <c r="H66" s="35"/>
    </row>
    <row r="67" spans="4:8">
      <c r="D67" s="34"/>
      <c r="F67" s="35"/>
      <c r="H67" s="35"/>
    </row>
    <row r="68" spans="4:8">
      <c r="D68" s="34"/>
      <c r="F68" s="35"/>
      <c r="H68" s="35"/>
    </row>
    <row r="69" spans="4:8">
      <c r="D69" s="34"/>
      <c r="F69" s="35"/>
      <c r="H69" s="35"/>
    </row>
    <row r="70" spans="4:8">
      <c r="D70" s="34"/>
      <c r="F70" s="35"/>
      <c r="H70" s="35"/>
    </row>
    <row r="71" spans="4:8">
      <c r="D71" s="34"/>
      <c r="F71" s="35"/>
      <c r="H71" s="35"/>
    </row>
    <row r="72" spans="4:8">
      <c r="D72" s="34"/>
      <c r="F72" s="35"/>
      <c r="H72" s="35"/>
    </row>
    <row r="73" spans="4:8">
      <c r="D73" s="34"/>
      <c r="F73" s="35"/>
      <c r="H73" s="35"/>
    </row>
    <row r="74" spans="4:8">
      <c r="D74" s="34"/>
      <c r="F74" s="35"/>
      <c r="H74" s="35"/>
    </row>
    <row r="75" spans="4:8">
      <c r="D75" s="34"/>
      <c r="F75" s="35"/>
      <c r="H75" s="35"/>
    </row>
    <row r="76" spans="4:8">
      <c r="D76" s="34"/>
      <c r="F76" s="35"/>
      <c r="H76" s="35"/>
    </row>
    <row r="77" spans="4:8">
      <c r="D77" s="34"/>
      <c r="F77" s="35"/>
      <c r="H77" s="35"/>
    </row>
    <row r="78" spans="4:8">
      <c r="D78" s="34"/>
      <c r="F78" s="35"/>
      <c r="H78" s="35"/>
    </row>
    <row r="79" spans="4:8">
      <c r="D79" s="34"/>
      <c r="F79" s="35"/>
      <c r="H79" s="35"/>
    </row>
    <row r="80" spans="4:8">
      <c r="D80" s="34"/>
      <c r="F80" s="35"/>
      <c r="H80" s="35"/>
    </row>
    <row r="81" spans="4:8">
      <c r="D81" s="34"/>
      <c r="F81" s="35"/>
      <c r="H81" s="35"/>
    </row>
    <row r="82" ht="15" customHeight="1" spans="4:8">
      <c r="D82" s="34"/>
      <c r="F82" s="35"/>
      <c r="H82" s="35"/>
    </row>
    <row r="83" ht="15" customHeight="1" spans="4:8">
      <c r="D83" s="34"/>
      <c r="F83" s="35"/>
      <c r="H83" s="35"/>
    </row>
    <row r="84" ht="15" customHeight="1" spans="4:8">
      <c r="D84" s="34"/>
      <c r="F84" s="35"/>
      <c r="H84" s="35"/>
    </row>
    <row r="85" ht="15" customHeight="1" spans="4:8">
      <c r="D85" s="34"/>
      <c r="F85" s="35"/>
      <c r="H85" s="35"/>
    </row>
    <row r="86" ht="15" customHeight="1" spans="4:8">
      <c r="D86" s="34"/>
      <c r="F86" s="35"/>
      <c r="H86" s="35"/>
    </row>
    <row r="87" ht="15" customHeight="1" spans="4:8">
      <c r="D87" s="34"/>
      <c r="F87" s="35"/>
      <c r="H87" s="35"/>
    </row>
    <row r="88" ht="15" customHeight="1" spans="4:8">
      <c r="D88" s="34"/>
      <c r="F88" s="35"/>
      <c r="H88" s="35"/>
    </row>
    <row r="89" ht="15" customHeight="1" spans="4:8">
      <c r="D89" s="34"/>
      <c r="F89" s="35"/>
      <c r="H89" s="35"/>
    </row>
    <row r="90" ht="15" customHeight="1" spans="4:8">
      <c r="D90" s="34"/>
      <c r="F90" s="35"/>
      <c r="H90" s="35"/>
    </row>
    <row r="91" ht="15" customHeight="1" spans="4:8">
      <c r="D91" s="34"/>
      <c r="F91" s="35"/>
      <c r="H91" s="35"/>
    </row>
    <row r="92" ht="15" customHeight="1" spans="4:8">
      <c r="D92" s="34"/>
      <c r="F92" s="35"/>
      <c r="H92" s="35"/>
    </row>
    <row r="93" ht="15" customHeight="1" spans="4:8">
      <c r="D93" s="34"/>
      <c r="F93" s="35"/>
      <c r="H93" s="35"/>
    </row>
    <row r="94" ht="15" customHeight="1" spans="4:8">
      <c r="D94" s="34"/>
      <c r="F94" s="35"/>
      <c r="H94" s="35"/>
    </row>
    <row r="95" ht="15" customHeight="1" spans="4:8">
      <c r="D95" s="34"/>
      <c r="F95" s="35"/>
      <c r="H95" s="36"/>
    </row>
    <row r="96" ht="15" customHeight="1" spans="4:8">
      <c r="D96" s="34"/>
      <c r="F96" s="36"/>
      <c r="H96" s="36"/>
    </row>
    <row r="97" ht="15" customHeight="1" spans="4:8">
      <c r="D97" s="34"/>
      <c r="F97" s="36"/>
      <c r="H97" s="36"/>
    </row>
    <row r="98" ht="15" customHeight="1" spans="4:8">
      <c r="D98" s="34"/>
      <c r="F98" s="36"/>
      <c r="H98" s="36"/>
    </row>
    <row r="99" spans="4:8">
      <c r="D99" s="34"/>
      <c r="F99" s="36"/>
      <c r="H99" s="36"/>
    </row>
    <row r="100" spans="4:8">
      <c r="D100" s="34"/>
      <c r="F100" s="36"/>
      <c r="H100" s="36"/>
    </row>
    <row r="101" spans="4:8">
      <c r="D101" s="34"/>
      <c r="F101" s="36"/>
      <c r="H101" s="36"/>
    </row>
    <row r="102" spans="4:8">
      <c r="D102" s="34"/>
      <c r="F102" s="36"/>
      <c r="H102" s="36"/>
    </row>
    <row r="103" spans="4:8">
      <c r="D103" s="34"/>
      <c r="F103" s="36"/>
      <c r="H103" s="36"/>
    </row>
    <row r="104" spans="4:8">
      <c r="D104" s="34"/>
      <c r="F104" s="36"/>
      <c r="H104" s="36"/>
    </row>
    <row r="105" spans="4:8">
      <c r="D105" s="34"/>
      <c r="F105" s="36"/>
      <c r="H105" s="36"/>
    </row>
    <row r="106" spans="4:8">
      <c r="D106" s="34"/>
      <c r="F106" s="36"/>
      <c r="H106" s="36"/>
    </row>
    <row r="107" spans="4:8">
      <c r="D107" s="34"/>
      <c r="F107" s="36"/>
      <c r="H107" s="36"/>
    </row>
    <row r="108" spans="4:8">
      <c r="D108" s="34"/>
      <c r="F108" s="36"/>
      <c r="H108" s="36"/>
    </row>
    <row r="109" spans="4:8">
      <c r="D109" s="34"/>
      <c r="F109" s="36"/>
      <c r="H109" s="36"/>
    </row>
    <row r="110" spans="4:8">
      <c r="D110" s="34"/>
      <c r="F110" s="36"/>
      <c r="H110" s="36"/>
    </row>
    <row r="111" spans="4:8">
      <c r="D111" s="34"/>
      <c r="F111" s="36"/>
      <c r="H111" s="36"/>
    </row>
    <row r="112" spans="4:8">
      <c r="D112" s="34"/>
      <c r="F112" s="36"/>
      <c r="H112" s="36"/>
    </row>
    <row r="113" spans="4:8">
      <c r="D113" s="34"/>
      <c r="F113" s="36"/>
      <c r="H113" s="36"/>
    </row>
    <row r="114" spans="4:8">
      <c r="D114" s="34"/>
      <c r="F114" s="36"/>
      <c r="H114" s="36"/>
    </row>
    <row r="115" spans="4:8">
      <c r="D115" s="34"/>
      <c r="F115" s="36"/>
      <c r="H115" s="36"/>
    </row>
    <row r="116" spans="4:8">
      <c r="D116" s="34"/>
      <c r="F116" s="36"/>
      <c r="H116" s="36"/>
    </row>
    <row r="117" spans="4:8">
      <c r="D117" s="34"/>
      <c r="F117" s="36"/>
      <c r="H117" s="36"/>
    </row>
  </sheetData>
  <autoFilter ref="A1:M109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3" sqref="A3:C50"/>
    </sheetView>
  </sheetViews>
  <sheetFormatPr defaultColWidth="7.875" defaultRowHeight="14.5" outlineLevelCol="2"/>
  <cols>
    <col min="1" max="1" width="13.5" style="26" customWidth="1"/>
    <col min="2" max="2" width="22.875" style="26" customWidth="1"/>
    <col min="3" max="3" width="10.625" style="26" customWidth="1"/>
    <col min="4" max="16384" width="7.875" style="26"/>
  </cols>
  <sheetData>
    <row r="1" ht="14" spans="1:3">
      <c r="A1" s="27" t="s">
        <v>1942</v>
      </c>
      <c r="B1" s="27" t="s">
        <v>1943</v>
      </c>
      <c r="C1" s="27" t="s">
        <v>1943</v>
      </c>
    </row>
    <row r="2" spans="2:3">
      <c r="B2" s="28" t="s">
        <v>24</v>
      </c>
      <c r="C2" s="28" t="s">
        <v>317</v>
      </c>
    </row>
    <row r="3" ht="14" spans="1:3">
      <c r="A3" s="29" t="s">
        <v>318</v>
      </c>
      <c r="B3" s="29" t="s">
        <v>208</v>
      </c>
      <c r="C3" s="29" t="s">
        <v>1944</v>
      </c>
    </row>
    <row r="4" ht="14" spans="1:3">
      <c r="A4" s="29" t="s">
        <v>348</v>
      </c>
      <c r="B4" s="29" t="s">
        <v>208</v>
      </c>
      <c r="C4" s="29" t="s">
        <v>1945</v>
      </c>
    </row>
    <row r="5" ht="14" spans="1:3">
      <c r="A5" s="29" t="s">
        <v>378</v>
      </c>
      <c r="B5" s="29" t="s">
        <v>208</v>
      </c>
      <c r="C5" s="29" t="s">
        <v>1946</v>
      </c>
    </row>
    <row r="6" ht="14" spans="1:3">
      <c r="A6" s="29" t="s">
        <v>408</v>
      </c>
      <c r="B6" s="29" t="s">
        <v>208</v>
      </c>
      <c r="C6" s="29" t="s">
        <v>208</v>
      </c>
    </row>
    <row r="7" ht="14" spans="1:3">
      <c r="A7" s="29" t="s">
        <v>438</v>
      </c>
      <c r="B7" s="29" t="s">
        <v>208</v>
      </c>
      <c r="C7" s="29" t="s">
        <v>1947</v>
      </c>
    </row>
    <row r="8" ht="14" spans="1:3">
      <c r="A8" s="29" t="s">
        <v>468</v>
      </c>
      <c r="B8" s="29" t="s">
        <v>208</v>
      </c>
      <c r="C8" s="29" t="s">
        <v>1948</v>
      </c>
    </row>
    <row r="9" ht="14" spans="1:3">
      <c r="A9" s="29" t="s">
        <v>498</v>
      </c>
      <c r="B9" s="29" t="s">
        <v>208</v>
      </c>
      <c r="C9" s="29" t="s">
        <v>1949</v>
      </c>
    </row>
    <row r="10" ht="14" spans="1:3">
      <c r="A10" s="29" t="s">
        <v>528</v>
      </c>
      <c r="B10" s="29" t="s">
        <v>1950</v>
      </c>
      <c r="C10" s="29" t="s">
        <v>1951</v>
      </c>
    </row>
    <row r="11" ht="14" spans="1:3">
      <c r="A11" s="29" t="s">
        <v>558</v>
      </c>
      <c r="B11" s="29" t="s">
        <v>1952</v>
      </c>
      <c r="C11" s="29" t="s">
        <v>1953</v>
      </c>
    </row>
    <row r="12" ht="14" spans="1:3">
      <c r="A12" s="29" t="s">
        <v>588</v>
      </c>
      <c r="B12" s="29" t="s">
        <v>1954</v>
      </c>
      <c r="C12" s="29" t="s">
        <v>1955</v>
      </c>
    </row>
    <row r="13" ht="14" spans="1:3">
      <c r="A13" s="29" t="s">
        <v>618</v>
      </c>
      <c r="B13" s="29" t="s">
        <v>1956</v>
      </c>
      <c r="C13" s="29" t="s">
        <v>1957</v>
      </c>
    </row>
    <row r="14" ht="14" spans="1:3">
      <c r="A14" s="29" t="s">
        <v>648</v>
      </c>
      <c r="B14" s="29" t="s">
        <v>1958</v>
      </c>
      <c r="C14" s="29" t="s">
        <v>1959</v>
      </c>
    </row>
    <row r="15" ht="14" spans="1:3">
      <c r="A15" s="29" t="s">
        <v>678</v>
      </c>
      <c r="B15" s="29" t="s">
        <v>1960</v>
      </c>
      <c r="C15" s="29" t="s">
        <v>1961</v>
      </c>
    </row>
    <row r="16" ht="14" spans="1:3">
      <c r="A16" s="29" t="s">
        <v>708</v>
      </c>
      <c r="B16" s="29" t="s">
        <v>1962</v>
      </c>
      <c r="C16" s="29" t="s">
        <v>1963</v>
      </c>
    </row>
    <row r="17" ht="14" spans="1:3">
      <c r="A17" s="29" t="s">
        <v>738</v>
      </c>
      <c r="B17" s="29" t="s">
        <v>1964</v>
      </c>
      <c r="C17" s="29" t="s">
        <v>1965</v>
      </c>
    </row>
    <row r="18" ht="14" spans="1:3">
      <c r="A18" s="29" t="s">
        <v>768</v>
      </c>
      <c r="B18" s="29" t="s">
        <v>1966</v>
      </c>
      <c r="C18" s="29" t="s">
        <v>1967</v>
      </c>
    </row>
    <row r="19" ht="14" spans="1:3">
      <c r="A19" s="29" t="s">
        <v>798</v>
      </c>
      <c r="B19" s="29" t="s">
        <v>1888</v>
      </c>
      <c r="C19" s="29" t="s">
        <v>1968</v>
      </c>
    </row>
    <row r="20" ht="14" spans="1:3">
      <c r="A20" s="29" t="s">
        <v>828</v>
      </c>
      <c r="B20" s="29" t="s">
        <v>1969</v>
      </c>
      <c r="C20" s="29" t="s">
        <v>1970</v>
      </c>
    </row>
    <row r="21" ht="14" spans="1:3">
      <c r="A21" s="29" t="s">
        <v>858</v>
      </c>
      <c r="B21" s="29" t="s">
        <v>1971</v>
      </c>
      <c r="C21" s="29" t="s">
        <v>1972</v>
      </c>
    </row>
    <row r="22" ht="14" spans="1:3">
      <c r="A22" s="29" t="s">
        <v>888</v>
      </c>
      <c r="B22" s="29" t="s">
        <v>1973</v>
      </c>
      <c r="C22" s="29" t="s">
        <v>1974</v>
      </c>
    </row>
    <row r="23" ht="14" spans="1:3">
      <c r="A23" s="29" t="s">
        <v>918</v>
      </c>
      <c r="B23" s="29" t="s">
        <v>1975</v>
      </c>
      <c r="C23" s="29" t="s">
        <v>1976</v>
      </c>
    </row>
    <row r="24" ht="14" spans="1:3">
      <c r="A24" s="29" t="s">
        <v>948</v>
      </c>
      <c r="B24" s="29" t="s">
        <v>1977</v>
      </c>
      <c r="C24" s="29" t="s">
        <v>1978</v>
      </c>
    </row>
    <row r="25" ht="14" spans="1:3">
      <c r="A25" s="29" t="s">
        <v>978</v>
      </c>
      <c r="B25" s="29" t="s">
        <v>1979</v>
      </c>
      <c r="C25" s="29" t="s">
        <v>1980</v>
      </c>
    </row>
    <row r="26" ht="14" spans="1:3">
      <c r="A26" s="29" t="s">
        <v>1008</v>
      </c>
      <c r="B26" s="29" t="s">
        <v>1981</v>
      </c>
      <c r="C26" s="29" t="s">
        <v>1982</v>
      </c>
    </row>
    <row r="27" ht="14" spans="1:3">
      <c r="A27" s="29" t="s">
        <v>1038</v>
      </c>
      <c r="B27" s="29" t="s">
        <v>1983</v>
      </c>
      <c r="C27" s="29" t="s">
        <v>1984</v>
      </c>
    </row>
    <row r="28" ht="14" spans="1:3">
      <c r="A28" s="29" t="s">
        <v>1068</v>
      </c>
      <c r="B28" s="29" t="s">
        <v>1985</v>
      </c>
      <c r="C28" s="29" t="s">
        <v>1986</v>
      </c>
    </row>
    <row r="29" ht="14" spans="1:3">
      <c r="A29" s="29" t="s">
        <v>1098</v>
      </c>
      <c r="B29" s="29" t="s">
        <v>1987</v>
      </c>
      <c r="C29" s="29" t="s">
        <v>1988</v>
      </c>
    </row>
    <row r="30" ht="14" spans="1:3">
      <c r="A30" s="29" t="s">
        <v>1128</v>
      </c>
      <c r="B30" s="29" t="s">
        <v>1989</v>
      </c>
      <c r="C30" s="29" t="s">
        <v>1990</v>
      </c>
    </row>
    <row r="31" ht="14" spans="1:3">
      <c r="A31" s="29" t="s">
        <v>1158</v>
      </c>
      <c r="B31" s="29" t="s">
        <v>1991</v>
      </c>
      <c r="C31" s="29" t="s">
        <v>1992</v>
      </c>
    </row>
    <row r="32" ht="14" spans="1:3">
      <c r="A32" s="29" t="s">
        <v>1188</v>
      </c>
      <c r="B32" s="29" t="s">
        <v>1993</v>
      </c>
      <c r="C32" s="29" t="s">
        <v>1994</v>
      </c>
    </row>
    <row r="33" ht="14" spans="1:3">
      <c r="A33" s="29" t="s">
        <v>1218</v>
      </c>
      <c r="B33" s="29" t="s">
        <v>1995</v>
      </c>
      <c r="C33" s="29" t="s">
        <v>1996</v>
      </c>
    </row>
    <row r="34" ht="14" spans="1:3">
      <c r="A34" s="29" t="s">
        <v>1248</v>
      </c>
      <c r="B34" s="29" t="s">
        <v>1997</v>
      </c>
      <c r="C34" s="29" t="s">
        <v>1998</v>
      </c>
    </row>
    <row r="35" ht="14" spans="1:3">
      <c r="A35" s="29" t="s">
        <v>1278</v>
      </c>
      <c r="B35" s="29" t="s">
        <v>1999</v>
      </c>
      <c r="C35" s="29" t="s">
        <v>2000</v>
      </c>
    </row>
    <row r="36" ht="14" spans="1:3">
      <c r="A36" s="29" t="s">
        <v>1308</v>
      </c>
      <c r="B36" s="29" t="s">
        <v>2001</v>
      </c>
      <c r="C36" s="29" t="s">
        <v>2002</v>
      </c>
    </row>
    <row r="37" ht="14" spans="1:3">
      <c r="A37" s="29" t="s">
        <v>1338</v>
      </c>
      <c r="B37" s="29" t="s">
        <v>2003</v>
      </c>
      <c r="C37" s="29" t="s">
        <v>2004</v>
      </c>
    </row>
    <row r="38" ht="14" spans="1:3">
      <c r="A38" s="29" t="s">
        <v>1368</v>
      </c>
      <c r="B38" s="29" t="s">
        <v>2005</v>
      </c>
      <c r="C38" s="29" t="s">
        <v>2006</v>
      </c>
    </row>
    <row r="39" ht="14" spans="1:3">
      <c r="A39" s="29" t="s">
        <v>1398</v>
      </c>
      <c r="B39" s="29" t="s">
        <v>2007</v>
      </c>
      <c r="C39" s="29" t="s">
        <v>2008</v>
      </c>
    </row>
    <row r="40" ht="14" spans="1:3">
      <c r="A40" s="29" t="s">
        <v>1428</v>
      </c>
      <c r="B40" s="29" t="s">
        <v>2009</v>
      </c>
      <c r="C40" s="29" t="s">
        <v>2010</v>
      </c>
    </row>
    <row r="41" ht="14" spans="1:3">
      <c r="A41" s="29" t="s">
        <v>1458</v>
      </c>
      <c r="B41" s="29" t="s">
        <v>2011</v>
      </c>
      <c r="C41" s="29" t="s">
        <v>2012</v>
      </c>
    </row>
    <row r="42" ht="14" spans="1:3">
      <c r="A42" s="29" t="s">
        <v>1488</v>
      </c>
      <c r="B42" s="29" t="s">
        <v>2013</v>
      </c>
      <c r="C42" s="29" t="s">
        <v>2014</v>
      </c>
    </row>
    <row r="43" ht="14" spans="1:3">
      <c r="A43" s="29" t="s">
        <v>1518</v>
      </c>
      <c r="B43" s="29" t="s">
        <v>2015</v>
      </c>
      <c r="C43" s="29" t="s">
        <v>2016</v>
      </c>
    </row>
    <row r="44" ht="14" spans="1:3">
      <c r="A44" s="29" t="s">
        <v>1548</v>
      </c>
      <c r="B44" s="29" t="s">
        <v>2017</v>
      </c>
      <c r="C44" s="29" t="s">
        <v>2018</v>
      </c>
    </row>
    <row r="45" ht="14" spans="1:3">
      <c r="A45" s="29" t="s">
        <v>1578</v>
      </c>
      <c r="B45" s="29" t="s">
        <v>2019</v>
      </c>
      <c r="C45" s="29" t="s">
        <v>2020</v>
      </c>
    </row>
    <row r="46" ht="14" spans="1:3">
      <c r="A46" s="29" t="s">
        <v>1608</v>
      </c>
      <c r="B46" s="29" t="s">
        <v>2021</v>
      </c>
      <c r="C46" s="29" t="s">
        <v>2022</v>
      </c>
    </row>
    <row r="47" ht="14" spans="1:3">
      <c r="A47" s="29" t="s">
        <v>1638</v>
      </c>
      <c r="B47" s="29" t="s">
        <v>2023</v>
      </c>
      <c r="C47" s="29" t="s">
        <v>2024</v>
      </c>
    </row>
    <row r="48" ht="14" spans="1:3">
      <c r="A48" s="29" t="s">
        <v>1668</v>
      </c>
      <c r="B48" s="29" t="s">
        <v>2025</v>
      </c>
      <c r="C48" s="29" t="s">
        <v>2026</v>
      </c>
    </row>
    <row r="49" ht="14" spans="1:3">
      <c r="A49" s="29" t="s">
        <v>1698</v>
      </c>
      <c r="B49" s="29" t="s">
        <v>208</v>
      </c>
      <c r="C49" s="29" t="s">
        <v>2027</v>
      </c>
    </row>
    <row r="50" ht="14" spans="1:3">
      <c r="A50" s="29" t="s">
        <v>1728</v>
      </c>
      <c r="B50" s="29" t="s">
        <v>208</v>
      </c>
      <c r="C50" s="29" t="s">
        <v>2028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5" sqref="J5"/>
    </sheetView>
  </sheetViews>
  <sheetFormatPr defaultColWidth="9" defaultRowHeight="14" outlineLevelCol="6"/>
  <cols>
    <col min="1" max="1" width="11" customWidth="1"/>
    <col min="2" max="5" width="10.625" customWidth="1"/>
  </cols>
  <sheetData>
    <row r="1" spans="1:6">
      <c r="A1" s="23" t="s">
        <v>26</v>
      </c>
      <c r="B1" s="18" t="s">
        <v>2029</v>
      </c>
      <c r="C1" s="18">
        <v>46040</v>
      </c>
      <c r="D1" s="18" t="s">
        <v>2029</v>
      </c>
      <c r="E1" s="18" t="s">
        <v>2030</v>
      </c>
      <c r="F1" s="24"/>
    </row>
    <row r="2" spans="1:7">
      <c r="A2" s="23" t="s">
        <v>2031</v>
      </c>
      <c r="B2" s="23" t="s">
        <v>2</v>
      </c>
      <c r="C2" s="23" t="s">
        <v>2</v>
      </c>
      <c r="D2" s="23" t="s">
        <v>3</v>
      </c>
      <c r="E2" s="9" t="s">
        <v>3</v>
      </c>
      <c r="F2" s="25" t="s">
        <v>2032</v>
      </c>
      <c r="G2" t="s">
        <v>2033</v>
      </c>
    </row>
    <row r="3" spans="1:7">
      <c r="A3" s="23" t="s">
        <v>2034</v>
      </c>
      <c r="B3" s="22">
        <v>0.013</v>
      </c>
      <c r="C3" s="22">
        <v>0.024</v>
      </c>
      <c r="D3" s="22">
        <v>0.654</v>
      </c>
      <c r="E3" s="9">
        <v>0.914</v>
      </c>
      <c r="F3" s="25">
        <f>((C3-B3)/B3*100)%</f>
        <v>0.846153846153846</v>
      </c>
      <c r="G3" s="25">
        <f>((E3-D3)/D3*100)%</f>
        <v>0.397553516819572</v>
      </c>
    </row>
    <row r="4" spans="1:7">
      <c r="A4" s="23" t="s">
        <v>2035</v>
      </c>
      <c r="B4" s="22">
        <v>0.047</v>
      </c>
      <c r="C4" s="22">
        <v>0.06</v>
      </c>
      <c r="D4" s="22">
        <v>1.025</v>
      </c>
      <c r="E4" s="9">
        <v>0.875</v>
      </c>
      <c r="F4" s="25">
        <f t="shared" ref="F4:F10" si="0">((C4-B4)/B4*100)%</f>
        <v>0.276595744680851</v>
      </c>
      <c r="G4" s="25">
        <f t="shared" ref="G4:G10" si="1">((E4-D4)/D4*100)%</f>
        <v>-0.146341463414634</v>
      </c>
    </row>
    <row r="5" spans="1:7">
      <c r="A5" s="23" t="s">
        <v>2036</v>
      </c>
      <c r="B5" s="22">
        <v>0.035</v>
      </c>
      <c r="C5" s="22">
        <v>0.046</v>
      </c>
      <c r="D5" s="22">
        <v>0.597</v>
      </c>
      <c r="E5" s="9">
        <v>0.576</v>
      </c>
      <c r="F5" s="25">
        <f t="shared" si="0"/>
        <v>0.314285714285714</v>
      </c>
      <c r="G5" s="25">
        <f t="shared" si="1"/>
        <v>-0.035175879396985</v>
      </c>
    </row>
    <row r="6" spans="1:7">
      <c r="A6" s="23" t="s">
        <v>2037</v>
      </c>
      <c r="B6" s="22">
        <v>0.052</v>
      </c>
      <c r="C6" s="22">
        <v>0.056</v>
      </c>
      <c r="D6" s="22">
        <v>1.051</v>
      </c>
      <c r="E6" s="9">
        <v>0.833</v>
      </c>
      <c r="F6" s="25">
        <f t="shared" si="0"/>
        <v>0.076923076923077</v>
      </c>
      <c r="G6" s="25">
        <f t="shared" si="1"/>
        <v>-0.207421503330162</v>
      </c>
    </row>
    <row r="7" spans="1:7">
      <c r="A7" s="23" t="s">
        <v>2038</v>
      </c>
      <c r="B7" s="22">
        <v>0.065</v>
      </c>
      <c r="C7" s="22">
        <v>0.09</v>
      </c>
      <c r="D7" s="22">
        <v>0.641</v>
      </c>
      <c r="E7" s="9">
        <v>0.781</v>
      </c>
      <c r="F7" s="25">
        <f t="shared" si="0"/>
        <v>0.384615384615385</v>
      </c>
      <c r="G7" s="25">
        <f t="shared" si="1"/>
        <v>0.218408736349454</v>
      </c>
    </row>
    <row r="8" spans="1:7">
      <c r="A8" s="23" t="s">
        <v>2039</v>
      </c>
      <c r="B8" s="22">
        <v>0.252</v>
      </c>
      <c r="C8" s="22">
        <v>0.292</v>
      </c>
      <c r="D8" s="22">
        <v>1.368</v>
      </c>
      <c r="E8" s="9">
        <v>1.528</v>
      </c>
      <c r="F8" s="25">
        <f t="shared" si="0"/>
        <v>0.158730158730159</v>
      </c>
      <c r="G8" s="25">
        <f t="shared" si="1"/>
        <v>0.116959064327485</v>
      </c>
    </row>
    <row r="9" spans="1:7">
      <c r="A9" s="23" t="s">
        <v>2040</v>
      </c>
      <c r="B9" s="22">
        <v>0.053</v>
      </c>
      <c r="C9" s="22">
        <v>0.073</v>
      </c>
      <c r="D9" s="22">
        <v>0.517</v>
      </c>
      <c r="E9" s="9">
        <v>0.734</v>
      </c>
      <c r="F9" s="25">
        <f t="shared" si="0"/>
        <v>0.377358490566038</v>
      </c>
      <c r="G9" s="25">
        <f t="shared" si="1"/>
        <v>0.41972920696325</v>
      </c>
    </row>
    <row r="10" spans="1:7">
      <c r="A10" s="23" t="s">
        <v>2041</v>
      </c>
      <c r="B10" s="22">
        <v>0.017</v>
      </c>
      <c r="C10" s="22">
        <v>0.027</v>
      </c>
      <c r="D10" s="22">
        <v>0.925</v>
      </c>
      <c r="E10" s="9">
        <v>1.583</v>
      </c>
      <c r="F10" s="25">
        <f t="shared" si="0"/>
        <v>0.588235294117647</v>
      </c>
      <c r="G10" s="25">
        <f t="shared" si="1"/>
        <v>0.711351351351351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13" sqref="D13"/>
    </sheetView>
  </sheetViews>
  <sheetFormatPr defaultColWidth="9" defaultRowHeight="14" outlineLevelRow="4" outlineLevelCol="7"/>
  <cols>
    <col min="1" max="1" width="12.125" customWidth="1"/>
    <col min="2" max="2" width="38.125" customWidth="1"/>
    <col min="3" max="6" width="10" customWidth="1"/>
  </cols>
  <sheetData>
    <row r="1" spans="1:8">
      <c r="A1" s="9"/>
      <c r="B1" s="9" t="s">
        <v>26</v>
      </c>
      <c r="C1" s="18" t="s">
        <v>2029</v>
      </c>
      <c r="D1" s="18" t="s">
        <v>2029</v>
      </c>
      <c r="E1" s="18">
        <v>46040</v>
      </c>
      <c r="F1" s="18">
        <v>46040</v>
      </c>
      <c r="G1" t="s">
        <v>2042</v>
      </c>
      <c r="H1" t="s">
        <v>2042</v>
      </c>
    </row>
    <row r="2" spans="1:8">
      <c r="A2" s="9" t="s">
        <v>1761</v>
      </c>
      <c r="B2" s="9" t="s">
        <v>2043</v>
      </c>
      <c r="C2" s="9" t="s">
        <v>2</v>
      </c>
      <c r="D2" s="9" t="s">
        <v>3</v>
      </c>
      <c r="E2" s="9" t="s">
        <v>2</v>
      </c>
      <c r="F2" s="9" t="s">
        <v>3</v>
      </c>
      <c r="G2" t="s">
        <v>2</v>
      </c>
      <c r="H2" t="s">
        <v>3</v>
      </c>
    </row>
    <row r="3" spans="1:8">
      <c r="A3" s="9" t="s">
        <v>2044</v>
      </c>
      <c r="B3" s="9" t="s">
        <v>2045</v>
      </c>
      <c r="C3" s="22">
        <v>0.047</v>
      </c>
      <c r="D3" s="22">
        <v>1.037</v>
      </c>
      <c r="E3" s="22">
        <v>0.061</v>
      </c>
      <c r="F3" s="22">
        <v>0.892</v>
      </c>
      <c r="G3" s="5">
        <f t="shared" ref="G3:H5" si="0">E3/C3-1</f>
        <v>0.297872340425532</v>
      </c>
      <c r="H3" s="5">
        <f t="shared" si="0"/>
        <v>-0.139826422372228</v>
      </c>
    </row>
    <row r="4" spans="1:8">
      <c r="A4" s="9" t="s">
        <v>2046</v>
      </c>
      <c r="B4" s="9" t="s">
        <v>2047</v>
      </c>
      <c r="C4" s="22">
        <v>0.053</v>
      </c>
      <c r="D4" s="22">
        <v>1.073</v>
      </c>
      <c r="E4" s="22">
        <v>0.056</v>
      </c>
      <c r="F4" s="22">
        <v>0.832</v>
      </c>
      <c r="G4" s="5">
        <f t="shared" si="0"/>
        <v>0.0566037735849056</v>
      </c>
      <c r="H4" s="5">
        <f t="shared" si="0"/>
        <v>-0.224603914259087</v>
      </c>
    </row>
    <row r="5" spans="1:8">
      <c r="A5" s="9" t="s">
        <v>2048</v>
      </c>
      <c r="B5" s="9" t="s">
        <v>2045</v>
      </c>
      <c r="C5" s="22">
        <v>0.269</v>
      </c>
      <c r="D5" s="22">
        <v>1.451</v>
      </c>
      <c r="E5" s="22">
        <v>0.31</v>
      </c>
      <c r="F5" s="22">
        <v>1.637</v>
      </c>
      <c r="G5" s="5">
        <f t="shared" si="0"/>
        <v>0.152416356877323</v>
      </c>
      <c r="H5" s="5">
        <f t="shared" si="0"/>
        <v>0.128187456926258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A1" sqref="A1"/>
    </sheetView>
  </sheetViews>
  <sheetFormatPr defaultColWidth="9" defaultRowHeight="14"/>
  <cols>
    <col min="9" max="9" width="13.25" customWidth="1"/>
    <col min="10" max="10" width="20.25" customWidth="1"/>
    <col min="11" max="11" width="16.25" customWidth="1"/>
  </cols>
  <sheetData>
    <row r="1" spans="2:11">
      <c r="B1" s="6"/>
      <c r="C1" t="s">
        <v>2049</v>
      </c>
      <c r="D1" t="s">
        <v>2050</v>
      </c>
      <c r="E1" t="s">
        <v>2050</v>
      </c>
      <c r="F1" t="s">
        <v>2050</v>
      </c>
      <c r="I1" s="16" t="s">
        <v>2051</v>
      </c>
      <c r="J1" s="17" t="s">
        <v>2052</v>
      </c>
      <c r="K1" s="18">
        <v>46040</v>
      </c>
    </row>
    <row r="2" spans="1:11">
      <c r="A2" t="s">
        <v>2050</v>
      </c>
      <c r="B2" t="s">
        <v>1761</v>
      </c>
      <c r="C2" t="s">
        <v>2053</v>
      </c>
      <c r="D2" t="s">
        <v>2</v>
      </c>
      <c r="E2" t="s">
        <v>3</v>
      </c>
      <c r="F2" t="s">
        <v>2054</v>
      </c>
      <c r="I2" s="16"/>
      <c r="J2" s="16" t="s">
        <v>2055</v>
      </c>
      <c r="K2" s="19" t="s">
        <v>2054</v>
      </c>
    </row>
    <row r="3" ht="28" spans="1:16">
      <c r="A3" s="12"/>
      <c r="B3" t="s">
        <v>2056</v>
      </c>
      <c r="C3" s="13" t="s">
        <v>2057</v>
      </c>
      <c r="D3" s="14">
        <v>0.056</v>
      </c>
      <c r="E3" s="14">
        <v>0.832</v>
      </c>
      <c r="F3" s="14">
        <v>417.733</v>
      </c>
      <c r="H3" t="s">
        <v>2058</v>
      </c>
      <c r="I3" s="16" t="s">
        <v>2059</v>
      </c>
      <c r="J3" s="20">
        <v>231.089</v>
      </c>
      <c r="K3" s="20">
        <v>212.594</v>
      </c>
      <c r="M3" s="12"/>
      <c r="N3" s="12"/>
      <c r="O3" s="12"/>
      <c r="P3" s="12"/>
    </row>
    <row r="4" spans="2:11">
      <c r="B4" t="s">
        <v>2056</v>
      </c>
      <c r="C4" s="13" t="s">
        <v>2060</v>
      </c>
      <c r="D4" s="14">
        <v>0.054</v>
      </c>
      <c r="E4" s="14">
        <v>0.813</v>
      </c>
      <c r="F4" s="14">
        <v>226.02</v>
      </c>
      <c r="H4" t="s">
        <v>2061</v>
      </c>
      <c r="I4" s="16" t="s">
        <v>2062</v>
      </c>
      <c r="J4" s="20">
        <v>413.079</v>
      </c>
      <c r="K4" s="20">
        <v>417.733</v>
      </c>
    </row>
    <row r="5" spans="2:13">
      <c r="B5" t="s">
        <v>2056</v>
      </c>
      <c r="C5" s="13" t="s">
        <v>2063</v>
      </c>
      <c r="D5" s="14">
        <v>0.058</v>
      </c>
      <c r="E5" s="14">
        <v>0.852</v>
      </c>
      <c r="F5" s="14">
        <v>191.713</v>
      </c>
      <c r="H5" t="s">
        <v>2064</v>
      </c>
      <c r="I5" s="16" t="s">
        <v>2065</v>
      </c>
      <c r="J5" s="20">
        <v>872.138</v>
      </c>
      <c r="K5" s="20">
        <v>802.715</v>
      </c>
      <c r="M5" s="1"/>
    </row>
    <row r="6" spans="2:13">
      <c r="B6" t="s">
        <v>2056</v>
      </c>
      <c r="C6" s="13" t="s">
        <v>2066</v>
      </c>
      <c r="D6" s="14">
        <v>0.001</v>
      </c>
      <c r="E6" s="14">
        <v>0.008</v>
      </c>
      <c r="F6" s="14">
        <v>12.47</v>
      </c>
      <c r="M6" s="1"/>
    </row>
    <row r="7" spans="2:13">
      <c r="B7" t="s">
        <v>2056</v>
      </c>
      <c r="C7" s="13" t="s">
        <v>2067</v>
      </c>
      <c r="D7" s="14">
        <v>0.003</v>
      </c>
      <c r="E7" s="14">
        <v>0.08</v>
      </c>
      <c r="F7" s="14">
        <v>14.575</v>
      </c>
      <c r="M7" s="1"/>
    </row>
    <row r="8" spans="2:13">
      <c r="B8" t="s">
        <v>2056</v>
      </c>
      <c r="C8" s="13" t="s">
        <v>2068</v>
      </c>
      <c r="D8" s="14">
        <v>0.028</v>
      </c>
      <c r="E8" s="14">
        <v>0.699</v>
      </c>
      <c r="F8" s="14">
        <v>10.455</v>
      </c>
      <c r="M8" s="1"/>
    </row>
    <row r="9" spans="2:13">
      <c r="B9" t="s">
        <v>2056</v>
      </c>
      <c r="C9" s="13" t="s">
        <v>2069</v>
      </c>
      <c r="D9" s="14">
        <v>0.002</v>
      </c>
      <c r="E9" s="14">
        <v>0.033</v>
      </c>
      <c r="F9" s="14">
        <v>19.487</v>
      </c>
      <c r="M9" s="1"/>
    </row>
    <row r="10" spans="2:13">
      <c r="B10" t="s">
        <v>2056</v>
      </c>
      <c r="C10" s="13" t="s">
        <v>2070</v>
      </c>
      <c r="D10" s="14">
        <v>0.013</v>
      </c>
      <c r="E10" s="14">
        <v>0.251</v>
      </c>
      <c r="F10" s="14">
        <v>74.872</v>
      </c>
      <c r="M10" s="1"/>
    </row>
    <row r="11" spans="2:13">
      <c r="B11" t="s">
        <v>2056</v>
      </c>
      <c r="C11" s="13" t="s">
        <v>2071</v>
      </c>
      <c r="D11" s="14">
        <v>0.164</v>
      </c>
      <c r="E11" s="14">
        <v>2.25</v>
      </c>
      <c r="F11" s="14">
        <v>88.492</v>
      </c>
      <c r="M11" s="1"/>
    </row>
    <row r="12" spans="2:13">
      <c r="B12" t="s">
        <v>2056</v>
      </c>
      <c r="C12" s="13" t="s">
        <v>2072</v>
      </c>
      <c r="D12" s="14">
        <v>0.186</v>
      </c>
      <c r="E12" s="14">
        <v>1.491</v>
      </c>
      <c r="F12" s="14">
        <v>197.382</v>
      </c>
      <c r="M12" s="1"/>
    </row>
    <row r="13" ht="28" spans="1:16">
      <c r="A13" s="12"/>
      <c r="B13" t="s">
        <v>2056</v>
      </c>
      <c r="C13" s="13" t="s">
        <v>2073</v>
      </c>
      <c r="D13" s="14">
        <v>0.062</v>
      </c>
      <c r="E13" s="14">
        <v>0.648</v>
      </c>
      <c r="F13" s="14">
        <v>21.748</v>
      </c>
      <c r="M13" s="21"/>
      <c r="N13" s="12"/>
      <c r="O13" s="12"/>
      <c r="P13" s="12"/>
    </row>
    <row r="14" spans="2:13">
      <c r="B14" t="s">
        <v>2056</v>
      </c>
      <c r="C14" s="13" t="s">
        <v>2074</v>
      </c>
      <c r="D14" s="14">
        <v>0.09</v>
      </c>
      <c r="E14" s="14">
        <v>1.077</v>
      </c>
      <c r="F14" s="14">
        <v>114.307</v>
      </c>
      <c r="M14" s="1"/>
    </row>
    <row r="15" spans="2:13">
      <c r="B15" t="s">
        <v>2056</v>
      </c>
      <c r="C15" s="13" t="s">
        <v>2075</v>
      </c>
      <c r="D15" s="14">
        <v>0.072</v>
      </c>
      <c r="E15" s="14">
        <v>1.131</v>
      </c>
      <c r="F15" s="14">
        <v>166.417</v>
      </c>
      <c r="M15" s="1"/>
    </row>
    <row r="16" spans="2:13">
      <c r="B16" t="s">
        <v>2056</v>
      </c>
      <c r="C16" s="13" t="s">
        <v>2076</v>
      </c>
      <c r="D16" s="14">
        <v>0.038</v>
      </c>
      <c r="E16" s="14">
        <v>0.598</v>
      </c>
      <c r="F16" s="14">
        <v>83.794</v>
      </c>
      <c r="M16" s="1"/>
    </row>
    <row r="17" spans="2:13">
      <c r="B17" t="s">
        <v>2056</v>
      </c>
      <c r="C17" s="13" t="s">
        <v>2077</v>
      </c>
      <c r="D17" s="14">
        <v>0.005</v>
      </c>
      <c r="E17" s="14">
        <v>0.109</v>
      </c>
      <c r="F17" s="14">
        <v>31.468</v>
      </c>
      <c r="M17" s="1"/>
    </row>
    <row r="18" spans="2:13">
      <c r="B18" t="s">
        <v>2056</v>
      </c>
      <c r="C18" s="13" t="s">
        <v>2078</v>
      </c>
      <c r="D18" s="14">
        <v>0.058</v>
      </c>
      <c r="E18" s="14">
        <v>0.792</v>
      </c>
      <c r="F18" s="14">
        <v>316.338</v>
      </c>
      <c r="M18" s="1"/>
    </row>
    <row r="19" spans="2:13">
      <c r="B19" t="s">
        <v>2056</v>
      </c>
      <c r="C19" s="13" t="s">
        <v>2079</v>
      </c>
      <c r="D19" s="14">
        <v>0.053</v>
      </c>
      <c r="E19" s="14">
        <v>0.926</v>
      </c>
      <c r="F19" s="15">
        <v>101.395</v>
      </c>
      <c r="M19" s="1"/>
    </row>
    <row r="20" ht="28" spans="2:13">
      <c r="B20" t="s">
        <v>2048</v>
      </c>
      <c r="C20" s="13" t="s">
        <v>2057</v>
      </c>
      <c r="D20" s="14">
        <v>0.31</v>
      </c>
      <c r="E20" s="14">
        <v>1.637</v>
      </c>
      <c r="F20" s="14">
        <v>802.715</v>
      </c>
      <c r="M20" s="1"/>
    </row>
    <row r="21" spans="2:13">
      <c r="B21" t="s">
        <v>2048</v>
      </c>
      <c r="C21" s="13" t="s">
        <v>2060</v>
      </c>
      <c r="D21" s="14">
        <v>0.276</v>
      </c>
      <c r="E21" s="14">
        <v>1.459</v>
      </c>
      <c r="F21" s="14">
        <v>394.032</v>
      </c>
      <c r="M21" s="1"/>
    </row>
    <row r="22" spans="2:13">
      <c r="B22" t="s">
        <v>2048</v>
      </c>
      <c r="C22" s="13" t="s">
        <v>2063</v>
      </c>
      <c r="D22" s="14">
        <v>0.345</v>
      </c>
      <c r="E22" s="14">
        <v>1.821</v>
      </c>
      <c r="F22" s="14">
        <v>408.683</v>
      </c>
      <c r="M22" s="1"/>
    </row>
    <row r="23" spans="2:13">
      <c r="B23" t="s">
        <v>2048</v>
      </c>
      <c r="C23" s="13" t="s">
        <v>2066</v>
      </c>
      <c r="D23" s="14">
        <v>0.086</v>
      </c>
      <c r="E23" s="14">
        <v>0.5</v>
      </c>
      <c r="F23" s="14">
        <v>34.004</v>
      </c>
      <c r="M23" s="1"/>
    </row>
    <row r="24" spans="2:13">
      <c r="B24" t="s">
        <v>2048</v>
      </c>
      <c r="C24" s="13" t="s">
        <v>2067</v>
      </c>
      <c r="D24" s="14">
        <v>0.148</v>
      </c>
      <c r="E24" s="14">
        <v>1.518</v>
      </c>
      <c r="F24" s="14">
        <v>38.759</v>
      </c>
      <c r="M24" s="1"/>
    </row>
    <row r="25" spans="2:13">
      <c r="B25" t="s">
        <v>2048</v>
      </c>
      <c r="C25" s="13" t="s">
        <v>2068</v>
      </c>
      <c r="D25" s="14">
        <v>0.114</v>
      </c>
      <c r="E25" s="14">
        <v>0.975</v>
      </c>
      <c r="F25" s="14">
        <v>65.256</v>
      </c>
      <c r="M25" s="1"/>
    </row>
    <row r="26" spans="2:13">
      <c r="B26" t="s">
        <v>2048</v>
      </c>
      <c r="C26" s="13" t="s">
        <v>2069</v>
      </c>
      <c r="D26" s="14">
        <v>0.07</v>
      </c>
      <c r="E26" s="14">
        <v>0.523</v>
      </c>
      <c r="F26" s="14">
        <v>33.171</v>
      </c>
      <c r="M26" s="1"/>
    </row>
    <row r="27" spans="2:13">
      <c r="B27" t="s">
        <v>2048</v>
      </c>
      <c r="C27" s="13" t="s">
        <v>2070</v>
      </c>
      <c r="D27" s="14">
        <v>0.282</v>
      </c>
      <c r="E27" s="14">
        <v>1.713</v>
      </c>
      <c r="F27" s="14">
        <v>119.053</v>
      </c>
      <c r="M27" s="1"/>
    </row>
    <row r="28" spans="2:13">
      <c r="B28" t="s">
        <v>2048</v>
      </c>
      <c r="C28" s="13" t="s">
        <v>2071</v>
      </c>
      <c r="D28" s="14">
        <v>0.416</v>
      </c>
      <c r="E28" s="14">
        <v>1.711</v>
      </c>
      <c r="F28" s="14">
        <v>153.436</v>
      </c>
      <c r="M28" s="1"/>
    </row>
    <row r="29" spans="2:13">
      <c r="B29" t="s">
        <v>2048</v>
      </c>
      <c r="C29" s="13" t="s">
        <v>2072</v>
      </c>
      <c r="D29" s="14">
        <v>1.028</v>
      </c>
      <c r="E29" s="14">
        <v>2.678</v>
      </c>
      <c r="F29" s="14">
        <v>359.037</v>
      </c>
      <c r="M29" s="1"/>
    </row>
    <row r="30" ht="28" spans="2:13">
      <c r="B30" t="s">
        <v>2048</v>
      </c>
      <c r="C30" s="13" t="s">
        <v>2073</v>
      </c>
      <c r="D30" s="14">
        <v>0.602</v>
      </c>
      <c r="E30" s="14">
        <v>2.706</v>
      </c>
      <c r="F30" s="14">
        <v>87.467</v>
      </c>
      <c r="M30" s="1"/>
    </row>
    <row r="31" spans="2:13">
      <c r="B31" t="s">
        <v>2048</v>
      </c>
      <c r="C31" s="13" t="s">
        <v>2074</v>
      </c>
      <c r="D31" s="14">
        <v>0.511</v>
      </c>
      <c r="E31" s="14">
        <v>2.281</v>
      </c>
      <c r="F31" s="14">
        <v>275.231</v>
      </c>
      <c r="M31" s="1"/>
    </row>
    <row r="32" spans="2:13">
      <c r="B32" t="s">
        <v>2048</v>
      </c>
      <c r="C32" s="13" t="s">
        <v>2075</v>
      </c>
      <c r="D32" s="14">
        <v>0.308</v>
      </c>
      <c r="E32" s="14">
        <v>1.641</v>
      </c>
      <c r="F32" s="14">
        <v>252.453</v>
      </c>
      <c r="M32" s="1"/>
    </row>
    <row r="33" spans="2:13">
      <c r="B33" t="s">
        <v>2048</v>
      </c>
      <c r="C33" s="13" t="s">
        <v>2076</v>
      </c>
      <c r="D33" s="14">
        <v>0.186</v>
      </c>
      <c r="E33" s="14">
        <v>1.056</v>
      </c>
      <c r="F33" s="14">
        <v>113.176</v>
      </c>
      <c r="M33" s="1"/>
    </row>
    <row r="34" spans="2:13">
      <c r="B34" t="s">
        <v>2048</v>
      </c>
      <c r="C34" s="13" t="s">
        <v>2077</v>
      </c>
      <c r="D34" s="14">
        <v>0.116</v>
      </c>
      <c r="E34" s="14">
        <v>0.753</v>
      </c>
      <c r="F34" s="14">
        <v>74.389</v>
      </c>
      <c r="M34" s="1"/>
    </row>
    <row r="35" spans="2:13">
      <c r="B35" t="s">
        <v>2048</v>
      </c>
      <c r="C35" s="13" t="s">
        <v>2078</v>
      </c>
      <c r="D35" s="14">
        <v>0.189</v>
      </c>
      <c r="E35" s="14">
        <v>0.986</v>
      </c>
      <c r="F35" s="14">
        <v>389.411</v>
      </c>
      <c r="M35" s="1"/>
    </row>
    <row r="36" spans="2:13">
      <c r="B36" t="s">
        <v>2048</v>
      </c>
      <c r="C36" s="13" t="s">
        <v>2079</v>
      </c>
      <c r="D36" s="14">
        <v>0.53</v>
      </c>
      <c r="E36" s="14">
        <v>2.878</v>
      </c>
      <c r="F36" s="15">
        <v>413.304</v>
      </c>
      <c r="M36" s="1"/>
    </row>
    <row r="37" spans="13:13">
      <c r="M37" s="1"/>
    </row>
    <row r="40" spans="14:16">
      <c r="N40" s="2"/>
      <c r="O40" s="2"/>
      <c r="P40" s="2"/>
    </row>
    <row r="41" spans="13:13">
      <c r="M41" s="1"/>
    </row>
    <row r="42" spans="14:16">
      <c r="N42" s="2"/>
      <c r="O42" s="2"/>
      <c r="P42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N1" sqref="N1"/>
    </sheetView>
  </sheetViews>
  <sheetFormatPr defaultColWidth="9" defaultRowHeight="14" outlineLevelRow="4"/>
  <cols>
    <col min="1" max="1" width="20.25" customWidth="1"/>
    <col min="2" max="2" width="9.5" customWidth="1"/>
    <col min="3" max="4" width="15.125" customWidth="1"/>
  </cols>
  <sheetData>
    <row r="1" spans="1:13">
      <c r="A1" s="9" t="s">
        <v>1758</v>
      </c>
      <c r="B1" s="9" t="s">
        <v>1</v>
      </c>
      <c r="C1" s="9" t="s">
        <v>1761</v>
      </c>
      <c r="D1" s="9" t="s">
        <v>1763</v>
      </c>
      <c r="E1" s="9" t="s">
        <v>2</v>
      </c>
      <c r="F1" s="9" t="s">
        <v>3</v>
      </c>
      <c r="G1" s="9" t="s">
        <v>2080</v>
      </c>
      <c r="H1" s="9" t="s">
        <v>2081</v>
      </c>
      <c r="I1" s="9" t="s">
        <v>2082</v>
      </c>
      <c r="J1" s="9" t="s">
        <v>2083</v>
      </c>
      <c r="K1" s="11" t="s">
        <v>2084</v>
      </c>
      <c r="L1" s="11" t="s">
        <v>2085</v>
      </c>
      <c r="M1" t="s">
        <v>2031</v>
      </c>
    </row>
    <row r="2" spans="1:13">
      <c r="A2" t="s">
        <v>2086</v>
      </c>
      <c r="B2" s="1">
        <v>46040</v>
      </c>
      <c r="C2" s="10">
        <v>46040.7129050926</v>
      </c>
      <c r="D2" s="10">
        <v>46040.7306134259</v>
      </c>
      <c r="E2">
        <v>0.054</v>
      </c>
      <c r="F2">
        <v>0.598</v>
      </c>
      <c r="G2">
        <v>0.046</v>
      </c>
      <c r="H2">
        <v>0.563</v>
      </c>
      <c r="I2">
        <v>0.046</v>
      </c>
      <c r="J2">
        <v>0.63</v>
      </c>
      <c r="K2">
        <v>17</v>
      </c>
      <c r="L2">
        <v>-5</v>
      </c>
      <c r="M2" t="s">
        <v>2087</v>
      </c>
    </row>
    <row r="3" spans="1:13">
      <c r="A3" t="s">
        <v>1818</v>
      </c>
      <c r="B3" s="1">
        <v>46040</v>
      </c>
      <c r="C3" s="10">
        <v>46040.7316435185</v>
      </c>
      <c r="D3" s="10">
        <v>46040.7490162037</v>
      </c>
      <c r="E3">
        <v>0.07</v>
      </c>
      <c r="F3">
        <v>0.637</v>
      </c>
      <c r="G3">
        <v>0.055</v>
      </c>
      <c r="H3">
        <v>0.564</v>
      </c>
      <c r="I3">
        <v>0.055</v>
      </c>
      <c r="J3">
        <v>0.585</v>
      </c>
      <c r="K3">
        <v>27</v>
      </c>
      <c r="L3">
        <v>9</v>
      </c>
      <c r="M3" t="s">
        <v>2088</v>
      </c>
    </row>
    <row r="4" spans="1:13">
      <c r="A4" t="s">
        <v>1799</v>
      </c>
      <c r="B4" s="1">
        <v>46040</v>
      </c>
      <c r="C4" s="10">
        <v>46040.7500462963</v>
      </c>
      <c r="D4" s="10">
        <v>46040.772650463</v>
      </c>
      <c r="E4">
        <v>0.127</v>
      </c>
      <c r="F4">
        <v>0.941</v>
      </c>
      <c r="G4">
        <v>0.071</v>
      </c>
      <c r="H4">
        <v>0.577</v>
      </c>
      <c r="I4">
        <v>0.082</v>
      </c>
      <c r="J4">
        <v>0.674</v>
      </c>
      <c r="K4">
        <v>55</v>
      </c>
      <c r="L4">
        <v>40</v>
      </c>
      <c r="M4" t="s">
        <v>2089</v>
      </c>
    </row>
    <row r="5" spans="1:13">
      <c r="A5" t="s">
        <v>1805</v>
      </c>
      <c r="B5" s="1">
        <v>46040</v>
      </c>
      <c r="C5" s="10">
        <v>46040.8889236111</v>
      </c>
      <c r="D5" s="10">
        <v>46040.9069791667</v>
      </c>
      <c r="E5">
        <v>0.073</v>
      </c>
      <c r="F5">
        <v>0.526</v>
      </c>
      <c r="G5">
        <v>0.082</v>
      </c>
      <c r="H5">
        <v>0.519</v>
      </c>
      <c r="I5">
        <v>0.061</v>
      </c>
      <c r="J5">
        <v>0.421</v>
      </c>
      <c r="K5">
        <v>20</v>
      </c>
      <c r="L5">
        <v>25</v>
      </c>
      <c r="M5" t="s">
        <v>2090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3" sqref="D13"/>
    </sheetView>
  </sheetViews>
  <sheetFormatPr defaultColWidth="9" defaultRowHeight="14" outlineLevelCol="5"/>
  <cols>
    <col min="1" max="1" width="19.25" customWidth="1"/>
    <col min="2" max="24" width="14.125" customWidth="1"/>
  </cols>
  <sheetData>
    <row r="1" spans="1:6">
      <c r="A1" t="s">
        <v>2091</v>
      </c>
      <c r="B1" t="s">
        <v>2086</v>
      </c>
      <c r="C1" t="s">
        <v>1818</v>
      </c>
      <c r="D1" t="s">
        <v>1799</v>
      </c>
      <c r="E1" t="s">
        <v>1805</v>
      </c>
      <c r="F1" t="s">
        <v>2092</v>
      </c>
    </row>
    <row r="2" spans="2:6">
      <c r="B2" t="s">
        <v>2093</v>
      </c>
      <c r="C2" t="s">
        <v>2093</v>
      </c>
      <c r="D2" t="s">
        <v>2093</v>
      </c>
      <c r="E2" t="s">
        <v>2093</v>
      </c>
      <c r="F2" t="s">
        <v>2093</v>
      </c>
    </row>
    <row r="3" spans="1:5">
      <c r="A3" t="s">
        <v>2057</v>
      </c>
      <c r="B3">
        <v>145.754</v>
      </c>
      <c r="C3">
        <v>270.171</v>
      </c>
      <c r="D3">
        <v>484.598</v>
      </c>
      <c r="E3">
        <v>225.188</v>
      </c>
    </row>
    <row r="4" spans="1:5">
      <c r="A4" t="s">
        <v>2060</v>
      </c>
      <c r="B4">
        <v>57.877</v>
      </c>
      <c r="C4">
        <v>136.683</v>
      </c>
      <c r="D4">
        <v>247.716</v>
      </c>
      <c r="E4">
        <v>122.002</v>
      </c>
    </row>
    <row r="5" spans="1:5">
      <c r="A5" t="s">
        <v>2063</v>
      </c>
      <c r="B5">
        <v>87.878</v>
      </c>
      <c r="C5">
        <v>133.488</v>
      </c>
      <c r="D5">
        <v>236.882</v>
      </c>
      <c r="E5">
        <v>103.186</v>
      </c>
    </row>
    <row r="6" spans="1:5">
      <c r="A6" t="s">
        <v>2066</v>
      </c>
      <c r="B6">
        <v>2.777</v>
      </c>
      <c r="C6">
        <v>22.018</v>
      </c>
      <c r="D6">
        <v>16.034</v>
      </c>
      <c r="E6">
        <v>4.578</v>
      </c>
    </row>
    <row r="7" spans="1:5">
      <c r="A7" t="s">
        <v>2067</v>
      </c>
      <c r="B7">
        <v>0</v>
      </c>
      <c r="C7">
        <v>9.244</v>
      </c>
      <c r="D7">
        <v>27.615</v>
      </c>
      <c r="E7">
        <v>9.246</v>
      </c>
    </row>
    <row r="8" spans="1:5">
      <c r="A8" t="s">
        <v>2068</v>
      </c>
      <c r="B8">
        <v>5.969</v>
      </c>
      <c r="C8">
        <v>22.862</v>
      </c>
      <c r="D8">
        <v>20.435</v>
      </c>
      <c r="E8">
        <v>11.432</v>
      </c>
    </row>
    <row r="9" spans="1:5">
      <c r="A9" t="s">
        <v>2069</v>
      </c>
      <c r="B9">
        <v>0</v>
      </c>
      <c r="C9">
        <v>5.278</v>
      </c>
      <c r="D9">
        <v>44.297</v>
      </c>
      <c r="E9">
        <v>21.335</v>
      </c>
    </row>
    <row r="10" spans="1:5">
      <c r="A10" t="s">
        <v>2070</v>
      </c>
      <c r="B10">
        <v>40.302</v>
      </c>
      <c r="C10">
        <v>63.874</v>
      </c>
      <c r="D10">
        <v>89.979</v>
      </c>
      <c r="E10">
        <v>49.181</v>
      </c>
    </row>
    <row r="11" spans="1:5">
      <c r="A11" t="s">
        <v>2071</v>
      </c>
      <c r="B11">
        <v>24.256</v>
      </c>
      <c r="C11">
        <v>37.193</v>
      </c>
      <c r="D11">
        <v>57.112</v>
      </c>
      <c r="E11">
        <v>27.262</v>
      </c>
    </row>
    <row r="12" spans="1:5">
      <c r="A12" t="s">
        <v>2072</v>
      </c>
      <c r="B12">
        <v>72.451</v>
      </c>
      <c r="C12">
        <v>109.701</v>
      </c>
      <c r="D12">
        <v>229.126</v>
      </c>
      <c r="E12">
        <v>102.154</v>
      </c>
    </row>
    <row r="13" spans="1:5">
      <c r="A13" t="s">
        <v>2073</v>
      </c>
      <c r="B13">
        <v>8.083</v>
      </c>
      <c r="C13">
        <v>15.921</v>
      </c>
      <c r="D13">
        <v>33.656</v>
      </c>
      <c r="E13">
        <v>10.095</v>
      </c>
    </row>
    <row r="14" spans="1:5">
      <c r="A14" t="s">
        <v>2074</v>
      </c>
      <c r="B14">
        <v>30.237</v>
      </c>
      <c r="C14">
        <v>76.691</v>
      </c>
      <c r="D14">
        <v>133.911</v>
      </c>
      <c r="E14">
        <v>65.629</v>
      </c>
    </row>
    <row r="15" spans="1:5">
      <c r="A15" t="s">
        <v>2075</v>
      </c>
      <c r="B15">
        <v>68.423</v>
      </c>
      <c r="C15">
        <v>88.213</v>
      </c>
      <c r="D15">
        <v>212.509</v>
      </c>
      <c r="E15">
        <v>50.04</v>
      </c>
    </row>
    <row r="16" spans="1:5">
      <c r="A16" t="s">
        <v>2076</v>
      </c>
      <c r="B16">
        <v>27.604</v>
      </c>
      <c r="C16">
        <v>45.771</v>
      </c>
      <c r="D16">
        <v>68.17</v>
      </c>
      <c r="E16">
        <v>83.603</v>
      </c>
    </row>
    <row r="17" spans="1:5">
      <c r="A17" t="s">
        <v>2077</v>
      </c>
      <c r="B17">
        <v>11.406</v>
      </c>
      <c r="C17">
        <v>43.575</v>
      </c>
      <c r="D17">
        <v>36.351</v>
      </c>
      <c r="E17">
        <v>15.822</v>
      </c>
    </row>
    <row r="18" spans="1:5">
      <c r="A18" t="s">
        <v>2078</v>
      </c>
      <c r="B18">
        <v>103.149</v>
      </c>
      <c r="C18">
        <v>169.122</v>
      </c>
      <c r="D18">
        <v>328.443</v>
      </c>
      <c r="E18">
        <v>152.355</v>
      </c>
    </row>
    <row r="19" spans="1:5">
      <c r="A19" t="s">
        <v>2079</v>
      </c>
      <c r="B19">
        <v>42.606</v>
      </c>
      <c r="C19">
        <v>101.049</v>
      </c>
      <c r="D19">
        <v>156.155</v>
      </c>
      <c r="E19">
        <v>72.834</v>
      </c>
    </row>
    <row r="22" spans="1:6">
      <c r="A22" s="7"/>
      <c r="B22" s="8">
        <v>46040</v>
      </c>
      <c r="C22" s="7" t="s">
        <v>2094</v>
      </c>
      <c r="D22" s="7" t="s">
        <v>35</v>
      </c>
      <c r="E22" s="7"/>
      <c r="F22" s="7"/>
    </row>
    <row r="23" spans="1:6">
      <c r="A23" s="7" t="s">
        <v>2095</v>
      </c>
      <c r="B23">
        <v>1125.712</v>
      </c>
      <c r="C23">
        <v>750.041</v>
      </c>
      <c r="D23" s="5">
        <f>B23/C23-1</f>
        <v>0.500867285921703</v>
      </c>
      <c r="E23" s="7"/>
      <c r="F23" s="7"/>
    </row>
  </sheetData>
  <conditionalFormatting sqref="D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"/>
    </sheetView>
  </sheetViews>
  <sheetFormatPr defaultColWidth="9" defaultRowHeight="14"/>
  <cols>
    <col min="2" max="3" width="23.5" customWidth="1"/>
    <col min="8" max="9" width="23.5" customWidth="1"/>
  </cols>
  <sheetData>
    <row r="1" spans="1:9">
      <c r="A1" t="s">
        <v>32</v>
      </c>
      <c r="B1" t="s">
        <v>2096</v>
      </c>
      <c r="C1" t="s">
        <v>2096</v>
      </c>
      <c r="G1" t="s">
        <v>32</v>
      </c>
      <c r="H1" t="s">
        <v>2097</v>
      </c>
      <c r="I1" t="s">
        <v>2097</v>
      </c>
    </row>
    <row r="2" spans="1:9">
      <c r="A2" t="s">
        <v>26</v>
      </c>
      <c r="B2" s="1" t="s">
        <v>2094</v>
      </c>
      <c r="C2" s="1">
        <v>46040</v>
      </c>
      <c r="G2" t="s">
        <v>26</v>
      </c>
      <c r="H2" s="1" t="s">
        <v>2094</v>
      </c>
      <c r="I2" s="1">
        <v>46040</v>
      </c>
    </row>
    <row r="3" spans="1:9">
      <c r="A3" t="s">
        <v>2053</v>
      </c>
      <c r="B3" t="s">
        <v>23</v>
      </c>
      <c r="C3" t="s">
        <v>23</v>
      </c>
      <c r="G3" t="s">
        <v>2053</v>
      </c>
      <c r="H3" t="s">
        <v>23</v>
      </c>
      <c r="I3" t="s">
        <v>23</v>
      </c>
    </row>
    <row r="4" spans="1:10">
      <c r="A4" t="s">
        <v>2057</v>
      </c>
      <c r="B4" s="2">
        <v>21033.712</v>
      </c>
      <c r="C4">
        <v>23709.389</v>
      </c>
      <c r="G4" t="s">
        <v>2057</v>
      </c>
      <c r="H4" s="3">
        <f>B4/10</f>
        <v>2103.3712</v>
      </c>
      <c r="I4">
        <f>C4/10</f>
        <v>2370.9389</v>
      </c>
      <c r="J4" s="5">
        <f>I4/H4-1</f>
        <v>0.127208977664047</v>
      </c>
    </row>
    <row r="5" spans="1:10">
      <c r="A5" t="s">
        <v>2060</v>
      </c>
      <c r="B5" s="2">
        <v>10793.992</v>
      </c>
      <c r="C5">
        <v>12318.48</v>
      </c>
      <c r="G5" t="s">
        <v>2060</v>
      </c>
      <c r="H5" s="3">
        <f>B5/10</f>
        <v>1079.3992</v>
      </c>
      <c r="I5">
        <f t="shared" ref="I5:I6" si="0">C5/10</f>
        <v>1231.848</v>
      </c>
      <c r="J5" s="5">
        <f>I5/H5-1</f>
        <v>0.141234864728452</v>
      </c>
    </row>
    <row r="6" spans="1:10">
      <c r="A6" t="s">
        <v>2063</v>
      </c>
      <c r="B6" s="2">
        <v>10239.72</v>
      </c>
      <c r="C6">
        <v>11390.909</v>
      </c>
      <c r="G6" t="s">
        <v>2063</v>
      </c>
      <c r="H6" s="3">
        <f>B6/10</f>
        <v>1023.972</v>
      </c>
      <c r="I6">
        <f t="shared" si="0"/>
        <v>1139.0909</v>
      </c>
      <c r="J6" s="5">
        <f>I6/H6-1</f>
        <v>0.112423874871578</v>
      </c>
    </row>
    <row r="7" spans="1:9">
      <c r="A7" t="s">
        <v>2066</v>
      </c>
      <c r="B7" s="2">
        <v>1109.197</v>
      </c>
      <c r="C7">
        <v>1194.022</v>
      </c>
      <c r="H7" s="4"/>
      <c r="I7" s="6"/>
    </row>
    <row r="8" spans="1:10">
      <c r="A8" t="s">
        <v>2067</v>
      </c>
      <c r="B8" s="2">
        <v>809.317</v>
      </c>
      <c r="C8">
        <v>792.1</v>
      </c>
      <c r="G8" t="s">
        <v>2066</v>
      </c>
      <c r="H8" s="3">
        <f>B7/10</f>
        <v>110.9197</v>
      </c>
      <c r="I8">
        <f>C7/10</f>
        <v>119.4022</v>
      </c>
      <c r="J8" s="5">
        <f t="shared" ref="J8:J14" si="1">I8/H8-1</f>
        <v>0.0764742421769984</v>
      </c>
    </row>
    <row r="9" spans="1:10">
      <c r="A9" t="s">
        <v>2068</v>
      </c>
      <c r="B9" s="2">
        <v>1699.372</v>
      </c>
      <c r="C9">
        <v>1721.93</v>
      </c>
      <c r="G9" t="s">
        <v>2067</v>
      </c>
      <c r="H9" s="3">
        <f t="shared" ref="H9:H14" si="2">B8/10</f>
        <v>80.9317</v>
      </c>
      <c r="I9">
        <f t="shared" ref="I9:I14" si="3">C8/10</f>
        <v>79.21</v>
      </c>
      <c r="J9" s="5">
        <f t="shared" si="1"/>
        <v>-0.0212734935754469</v>
      </c>
    </row>
    <row r="10" spans="1:10">
      <c r="A10" t="s">
        <v>2069</v>
      </c>
      <c r="B10" s="2">
        <v>1561.672</v>
      </c>
      <c r="C10">
        <v>1615.824</v>
      </c>
      <c r="G10" t="s">
        <v>2068</v>
      </c>
      <c r="H10" s="3">
        <f t="shared" si="2"/>
        <v>169.9372</v>
      </c>
      <c r="I10">
        <f t="shared" si="3"/>
        <v>172.193</v>
      </c>
      <c r="J10" s="5">
        <f t="shared" si="1"/>
        <v>0.0132743154530026</v>
      </c>
    </row>
    <row r="11" spans="1:10">
      <c r="A11" t="s">
        <v>2070</v>
      </c>
      <c r="B11" s="2">
        <v>2474.485</v>
      </c>
      <c r="C11">
        <v>3780.761</v>
      </c>
      <c r="G11" t="s">
        <v>2069</v>
      </c>
      <c r="H11" s="3">
        <f t="shared" si="2"/>
        <v>156.1672</v>
      </c>
      <c r="I11">
        <f t="shared" si="3"/>
        <v>161.5824</v>
      </c>
      <c r="J11" s="5">
        <f t="shared" si="1"/>
        <v>0.034675655323269</v>
      </c>
    </row>
    <row r="12" spans="1:10">
      <c r="A12" t="s">
        <v>2071</v>
      </c>
      <c r="B12" s="2">
        <v>4301.643</v>
      </c>
      <c r="C12">
        <v>4215.86</v>
      </c>
      <c r="G12" t="s">
        <v>2070</v>
      </c>
      <c r="H12" s="3">
        <f t="shared" si="2"/>
        <v>247.4485</v>
      </c>
      <c r="I12">
        <f t="shared" si="3"/>
        <v>378.0761</v>
      </c>
      <c r="J12" s="5">
        <f t="shared" si="1"/>
        <v>0.527898128297403</v>
      </c>
    </row>
    <row r="13" spans="1:10">
      <c r="A13" t="s">
        <v>2072</v>
      </c>
      <c r="B13" s="2">
        <v>9078.027</v>
      </c>
      <c r="C13">
        <v>10388.892</v>
      </c>
      <c r="G13" t="s">
        <v>2071</v>
      </c>
      <c r="H13" s="3">
        <f t="shared" si="2"/>
        <v>430.1643</v>
      </c>
      <c r="I13">
        <f t="shared" si="3"/>
        <v>421.586</v>
      </c>
      <c r="J13" s="5">
        <f t="shared" si="1"/>
        <v>-0.0199419152170462</v>
      </c>
    </row>
    <row r="14" spans="1:10">
      <c r="A14" t="s">
        <v>2073</v>
      </c>
      <c r="B14" s="2">
        <v>1552.811</v>
      </c>
      <c r="C14">
        <v>1713.645</v>
      </c>
      <c r="G14" t="s">
        <v>2072</v>
      </c>
      <c r="H14" s="3">
        <f t="shared" si="2"/>
        <v>907.8027</v>
      </c>
      <c r="I14">
        <f t="shared" si="3"/>
        <v>1038.8892</v>
      </c>
      <c r="J14" s="5">
        <f t="shared" si="1"/>
        <v>0.144399768804389</v>
      </c>
    </row>
    <row r="15" spans="1:9">
      <c r="A15" t="s">
        <v>2074</v>
      </c>
      <c r="B15" s="2">
        <v>6368.939</v>
      </c>
      <c r="C15">
        <v>6722.869</v>
      </c>
      <c r="H15" s="4"/>
      <c r="I15" s="6"/>
    </row>
    <row r="16" spans="1:10">
      <c r="A16" t="s">
        <v>2075</v>
      </c>
      <c r="B16" s="2">
        <v>6730.555</v>
      </c>
      <c r="C16">
        <v>8171.993</v>
      </c>
      <c r="G16" t="s">
        <v>2073</v>
      </c>
      <c r="H16" s="3">
        <f>B14/10</f>
        <v>155.2811</v>
      </c>
      <c r="I16">
        <f>C14/10</f>
        <v>171.3645</v>
      </c>
      <c r="J16" s="5">
        <f>I16/H16-1</f>
        <v>0.103576030824099</v>
      </c>
    </row>
    <row r="17" spans="1:10">
      <c r="A17" t="s">
        <v>2076</v>
      </c>
      <c r="B17" s="2">
        <v>4074.922</v>
      </c>
      <c r="C17">
        <v>4428.172</v>
      </c>
      <c r="G17" t="s">
        <v>2074</v>
      </c>
      <c r="H17" s="3">
        <f t="shared" ref="H17:H20" si="4">B15/10</f>
        <v>636.8939</v>
      </c>
      <c r="I17">
        <f t="shared" ref="I17:I20" si="5">C15/10</f>
        <v>672.2869</v>
      </c>
      <c r="J17" s="5">
        <f>I17/H17-1</f>
        <v>0.0555712654807965</v>
      </c>
    </row>
    <row r="18" spans="1:10">
      <c r="A18" t="s">
        <v>2077</v>
      </c>
      <c r="B18" s="2">
        <v>2306.485</v>
      </c>
      <c r="C18">
        <v>2672.71</v>
      </c>
      <c r="G18" t="s">
        <v>2075</v>
      </c>
      <c r="H18" s="3">
        <f t="shared" si="4"/>
        <v>673.0555</v>
      </c>
      <c r="I18">
        <f t="shared" si="5"/>
        <v>817.1993</v>
      </c>
      <c r="J18" s="5">
        <f>I18/H18-1</f>
        <v>0.214163319369651</v>
      </c>
    </row>
    <row r="19" spans="1:10">
      <c r="A19" t="s">
        <v>2078</v>
      </c>
      <c r="B19" s="2">
        <v>13459.549</v>
      </c>
      <c r="C19">
        <v>15121.628</v>
      </c>
      <c r="G19" t="s">
        <v>2076</v>
      </c>
      <c r="H19" s="3">
        <f t="shared" si="4"/>
        <v>407.4922</v>
      </c>
      <c r="I19">
        <f t="shared" si="5"/>
        <v>442.8172</v>
      </c>
      <c r="J19" s="5">
        <f>I19/H19-1</f>
        <v>0.0866887758833172</v>
      </c>
    </row>
    <row r="20" spans="1:10">
      <c r="A20" t="s">
        <v>2079</v>
      </c>
      <c r="B20" s="2">
        <v>7574.163</v>
      </c>
      <c r="C20">
        <v>8587.761</v>
      </c>
      <c r="G20" t="s">
        <v>2077</v>
      </c>
      <c r="H20" s="3">
        <f t="shared" si="4"/>
        <v>230.6485</v>
      </c>
      <c r="I20">
        <f t="shared" si="5"/>
        <v>267.271</v>
      </c>
      <c r="J20" s="5">
        <f>I20/H20-1</f>
        <v>0.158780568700859</v>
      </c>
    </row>
    <row r="21" spans="8:9">
      <c r="H21" s="4"/>
      <c r="I21" s="6"/>
    </row>
    <row r="22" spans="7:10">
      <c r="G22" t="s">
        <v>2078</v>
      </c>
      <c r="H22" s="3">
        <f>B19/10</f>
        <v>1345.9549</v>
      </c>
      <c r="I22">
        <f>C19/10</f>
        <v>1512.1628</v>
      </c>
      <c r="J22" s="5">
        <f>I22/H22-1</f>
        <v>0.123486975678011</v>
      </c>
    </row>
    <row r="23" spans="7:10">
      <c r="G23" t="s">
        <v>2079</v>
      </c>
      <c r="H23" s="3">
        <f>B20/10</f>
        <v>757.4163</v>
      </c>
      <c r="I23">
        <f>C20/10</f>
        <v>858.7761</v>
      </c>
      <c r="J23" s="5">
        <f>I23/H23-1</f>
        <v>0.133823103622143</v>
      </c>
    </row>
  </sheetData>
  <conditionalFormatting sqref="J4:J6 J8:J14 J16:J20 J22:J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相对吸引力</vt:lpstr>
      <vt:lpstr>日报-分时段收视率</vt:lpstr>
      <vt:lpstr>日报-三大剧场</vt:lpstr>
      <vt:lpstr>日报-电视剧观众规模</vt:lpstr>
      <vt:lpstr>日报-首播节目对比</vt:lpstr>
      <vt:lpstr>日报-首播节目分类观众触达</vt:lpstr>
      <vt:lpstr>日报-频道分类观众规模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</dc:creator>
  <cp:lastModifiedBy>RUIZE YANG</cp:lastModifiedBy>
  <dcterms:created xsi:type="dcterms:W3CDTF">2023-05-06T06:53:00Z</dcterms:created>
  <dcterms:modified xsi:type="dcterms:W3CDTF">2026-02-28T06:38:36Z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CDDE53EB8A4A403CA5EAA00CF141E3B5_13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